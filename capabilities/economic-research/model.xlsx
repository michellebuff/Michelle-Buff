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Scenario" sheetId="3" state="visible" r:id="rId3"/>
    <sheet xmlns:r="http://schemas.openxmlformats.org/officeDocument/2006/relationships" name="Recovery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hecks" sheetId="6" state="visible" r:id="rId6"/>
  </sheets>
  <definedNames>
    <definedName name="CONFLICT_YEAR">'Inputs'!$B$5</definedName>
    <definedName name="CHN_G_2026">'Inputs'!$B$6</definedName>
    <definedName name="CHN_G_2027">'Inputs'!$B$7</definedName>
    <definedName name="CHN_G_2028">'Inputs'!$B$8</definedName>
    <definedName name="CHN_G_2029">'Inputs'!$B$9</definedName>
    <definedName name="CHN_G_2030">'Inputs'!$B$10</definedName>
    <definedName name="CHN_G_2031">'Inputs'!$B$11</definedName>
    <definedName name="US_G_2026">'Inputs'!$B$12</definedName>
    <definedName name="US_G_2027">'Inputs'!$B$13</definedName>
    <definedName name="US_G_2028">'Inputs'!$B$14</definedName>
    <definedName name="US_G_2029">'Inputs'!$B$15</definedName>
    <definedName name="US_G_2030">'Inputs'!$B$16</definedName>
    <definedName name="US_G_2031">'Inputs'!$B$17</definedName>
    <definedName name="CHN_SHOCK_Y1">'Inputs'!$B$18</definedName>
    <definedName name="US_SHOCK_Y1">'Inputs'!$B$19</definedName>
    <definedName name="BASE_RECOVERY_RATE">'Inputs'!$B$20</definedName>
    <definedName name="STIM_PER_10PTS">'Inputs'!$B$21</definedName>
    <definedName name="FISCAL_EFFECT">'Inputs'!$B$22</definedName>
    <definedName name="CHN_AGING_PENALTY">'Inputs'!$B$23</definedName>
    <definedName name="US_AGING_PENALTY">'Inputs'!$B$24</definedName>
    <definedName name="CHN_WAP_2027">'Inputs'!$B$25</definedName>
    <definedName name="CHN_WAP_2031">'Inputs'!$B$26</definedName>
    <definedName name="US_WAP_2027">'Inputs'!$B$27</definedName>
    <definedName name="US_WAP_2031">'Inputs'!$B$28</definedName>
    <definedName name="CHN_LABOR_FACTOR">'Inputs'!$B$29</definedName>
    <definedName name="US_LABOR_FACTOR">'Inputs'!$B$30</definedName>
    <definedName name="CHN_WAP_2015">'Inputs'!$B$31</definedName>
    <definedName name="CHN_WAP_2025">'Inputs'!$B$32</definedName>
    <definedName name="US_WAP_2015">'Inputs'!$B$33</definedName>
    <definedName name="US_WAP_2025">'Inputs'!$B$34</definedName>
    <definedName name="CHN_LABOR_FACTOR_1525">'Inputs'!$B$35</definedName>
    <definedName name="US_LABOR_FACTOR_1525">'Inputs'!$B$36</definedName>
    <definedName name="CHN_BASE_2026">'Baseline'!$C$5</definedName>
    <definedName name="US_BASE_2026">'Baseline'!$E$5</definedName>
    <definedName name="CHN_BASE_2027">'Baseline'!$C$6</definedName>
    <definedName name="US_BASE_2027">'Baseline'!$E$6</definedName>
    <definedName name="CHN_BASE_2028">'Baseline'!$C$7</definedName>
    <definedName name="US_BASE_2028">'Baseline'!$E$7</definedName>
    <definedName name="CHN_BASE_2029">'Baseline'!$C$8</definedName>
    <definedName name="US_BASE_2029">'Baseline'!$E$8</definedName>
    <definedName name="CHN_BASE_2030">'Baseline'!$C$9</definedName>
    <definedName name="US_BASE_2030">'Baseline'!$E$9</definedName>
    <definedName name="CHN_BASE_2031">'Baseline'!$C$10</definedName>
    <definedName name="US_BASE_2031">'Baseline'!$E$10</definedName>
    <definedName name="CHN_STIM">'Scenario'!$B$5</definedName>
    <definedName name="US_STIM">'Scenario'!$C$5</definedName>
    <definedName name="CHN_EFFECTIVENESS">'Scenario'!$B$6</definedName>
    <definedName name="US_EFFECTIVENESS">'Scenario'!$C$6</definedName>
    <definedName name="CHN_RECOVERY_PTS">'Scenario'!$B$7</definedName>
    <definedName name="US_RECOVERY_PTS">'Scenario'!$C$7</definedName>
    <definedName name="CHN_GAP_2027">'Scenario'!$C$10</definedName>
    <definedName name="US_GAP_2027">'Scenario'!$E$10</definedName>
    <definedName name="CHN_GAP_2028">'Scenario'!$C$11</definedName>
    <definedName name="US_GAP_2028">'Scenario'!$E$11</definedName>
    <definedName name="CHN_GAP_2029">'Scenario'!$C$12</definedName>
    <definedName name="US_GAP_2029">'Scenario'!$E$12</definedName>
    <definedName name="CHN_GAP_2030">'Scenario'!$C$13</definedName>
    <definedName name="US_GAP_2030">'Scenario'!$E$13</definedName>
    <definedName name="CHN_GAP_2031">'Scenario'!$C$14</definedName>
    <definedName name="US_GAP_2031">'Scenario'!$E$14</definedName>
    <definedName name="CHN_RECOVERED_5">'Recovery'!$B$7</definedName>
    <definedName name="US_RECOVERED_5">'Recovery'!$C$7</definedName>
    <definedName name="HYPOTHESIS_RESULT">'Recovery'!$B$11</definedName>
    <definedName name="CHN_BREAKEVEN_PENALTY">'Sensitivity'!$B$30</definedName>
    <definedName name="US_BREAKEVEN_PENALTY">'Sensitivity'!$B$32</definedName>
    <definedName name="CHN_BREAKEVEN_WAP_2031">'Sensitivity'!$B$33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0" customWidth="1" min="3" max="3"/>
    <col width="90" customWidth="1" min="4" max="4"/>
  </cols>
  <sheetData>
    <row r="1">
      <c r="A1" s="1" t="inlineStr">
        <is>
          <t>Inputs — the named contract</t>
        </is>
      </c>
    </row>
    <row r="2">
      <c r="A2" s="2" t="inlineStr">
        <is>
          <t>Every named input from capabilities/economic-research/spec.md (locked 2026-10-05). Yellow = source value; derived values are formulas at full precision.</t>
        </is>
      </c>
    </row>
    <row r="4">
      <c r="A4" s="3" t="inlineStr">
        <is>
          <t>Named range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</row>
    <row r="5">
      <c r="A5" t="inlineStr">
        <is>
          <t>CONFLICT_YEAR</t>
        </is>
      </c>
      <c r="B5" s="4" t="n">
        <v>2027</v>
      </c>
      <c r="C5" t="inlineStr">
        <is>
          <t>year</t>
        </is>
      </c>
      <c r="D5" t="inlineStr">
        <is>
          <t>Scenario assumption: PLA readiness goal (LaGrone, 2021); no fixed timeline (ODNI, 2026)</t>
        </is>
      </c>
    </row>
    <row r="6">
      <c r="A6" t="inlineStr">
        <is>
          <t>CHN_G_2026</t>
        </is>
      </c>
      <c r="B6" s="4" t="n">
        <v>4.4</v>
      </c>
      <c r="C6" t="inlineStr">
        <is>
          <t>% real GDP growth</t>
        </is>
      </c>
      <c r="D6" t="inlineStr">
        <is>
          <t>IMF (2026), WEO April 2026</t>
        </is>
      </c>
    </row>
    <row r="7">
      <c r="A7" t="inlineStr">
        <is>
          <t>CHN_G_2027</t>
        </is>
      </c>
      <c r="B7" s="4" t="n">
        <v>4</v>
      </c>
      <c r="C7" t="inlineStr">
        <is>
          <t>% real GDP growth</t>
        </is>
      </c>
      <c r="D7" t="inlineStr">
        <is>
          <t>IMF (2026), WEO April 2026</t>
        </is>
      </c>
    </row>
    <row r="8">
      <c r="A8" t="inlineStr">
        <is>
          <t>CHN_G_2028</t>
        </is>
      </c>
      <c r="B8" s="4" t="n">
        <v>4</v>
      </c>
      <c r="C8" t="inlineStr">
        <is>
          <t>% real GDP growth</t>
        </is>
      </c>
      <c r="D8" t="inlineStr">
        <is>
          <t>IMF (2026), WEO April 2026</t>
        </is>
      </c>
    </row>
    <row r="9">
      <c r="A9" t="inlineStr">
        <is>
          <t>CHN_G_2029</t>
        </is>
      </c>
      <c r="B9" s="4" t="n">
        <v>3.7</v>
      </c>
      <c r="C9" t="inlineStr">
        <is>
          <t>% real GDP growth</t>
        </is>
      </c>
      <c r="D9" t="inlineStr">
        <is>
          <t>IMF (2026), WEO April 2026</t>
        </is>
      </c>
    </row>
    <row r="10">
      <c r="A10" t="inlineStr">
        <is>
          <t>CHN_G_2030</t>
        </is>
      </c>
      <c r="B10" s="4" t="n">
        <v>3.3</v>
      </c>
      <c r="C10" t="inlineStr">
        <is>
          <t>% real GDP growth</t>
        </is>
      </c>
      <c r="D10" t="inlineStr">
        <is>
          <t>IMF (2026), WEO April 2026</t>
        </is>
      </c>
    </row>
    <row r="11">
      <c r="A11" t="inlineStr">
        <is>
          <t>CHN_G_2031</t>
        </is>
      </c>
      <c r="B11" s="4" t="n">
        <v>3.3</v>
      </c>
      <c r="C11" t="inlineStr">
        <is>
          <t>% real GDP growth</t>
        </is>
      </c>
      <c r="D11" t="inlineStr">
        <is>
          <t>IMF (2026), WEO April 2026</t>
        </is>
      </c>
    </row>
    <row r="12">
      <c r="A12" t="inlineStr">
        <is>
          <t>US_G_2026</t>
        </is>
      </c>
      <c r="B12" s="4" t="n">
        <v>2.3</v>
      </c>
      <c r="C12" t="inlineStr">
        <is>
          <t>% real GDP growth</t>
        </is>
      </c>
      <c r="D12" t="inlineStr">
        <is>
          <t>IMF (2026), WEO April 2026</t>
        </is>
      </c>
    </row>
    <row r="13">
      <c r="A13" t="inlineStr">
        <is>
          <t>US_G_2027</t>
        </is>
      </c>
      <c r="B13" s="4" t="n">
        <v>2.1</v>
      </c>
      <c r="C13" t="inlineStr">
        <is>
          <t>% real GDP growth</t>
        </is>
      </c>
      <c r="D13" t="inlineStr">
        <is>
          <t>IMF (2026), WEO April 2026</t>
        </is>
      </c>
    </row>
    <row r="14">
      <c r="A14" t="inlineStr">
        <is>
          <t>US_G_2028</t>
        </is>
      </c>
      <c r="B14" s="4" t="n">
        <v>2.1</v>
      </c>
      <c r="C14" t="inlineStr">
        <is>
          <t>% real GDP growth</t>
        </is>
      </c>
      <c r="D14" t="inlineStr">
        <is>
          <t>IMF (2026), WEO April 2026</t>
        </is>
      </c>
    </row>
    <row r="15">
      <c r="A15" t="inlineStr">
        <is>
          <t>US_G_2029</t>
        </is>
      </c>
      <c r="B15" s="4" t="n">
        <v>1.9</v>
      </c>
      <c r="C15" t="inlineStr">
        <is>
          <t>% real GDP growth</t>
        </is>
      </c>
      <c r="D15" t="inlineStr">
        <is>
          <t>IMF (2026), WEO April 2026</t>
        </is>
      </c>
    </row>
    <row r="16">
      <c r="A16" t="inlineStr">
        <is>
          <t>US_G_2030</t>
        </is>
      </c>
      <c r="B16" s="4" t="n">
        <v>1.8</v>
      </c>
      <c r="C16" t="inlineStr">
        <is>
          <t>% real GDP growth</t>
        </is>
      </c>
      <c r="D16" t="inlineStr">
        <is>
          <t>IMF (2026), WEO April 2026</t>
        </is>
      </c>
    </row>
    <row r="17">
      <c r="A17" t="inlineStr">
        <is>
          <t>US_G_2031</t>
        </is>
      </c>
      <c r="B17" s="4" t="n">
        <v>1.8</v>
      </c>
      <c r="C17" t="inlineStr">
        <is>
          <t>% real GDP growth</t>
        </is>
      </c>
      <c r="D17" t="inlineStr">
        <is>
          <t>IMF (2026), WEO April 2026</t>
        </is>
      </c>
    </row>
    <row r="18">
      <c r="A18" t="inlineStr">
        <is>
          <t>CHN_SHOCK_Y1</t>
        </is>
      </c>
      <c r="B18" s="4" t="n">
        <v>-16.7</v>
      </c>
      <c r="C18" t="inlineStr">
        <is>
          <t>% below baseline in year one</t>
        </is>
      </c>
      <c r="D18" t="inlineStr">
        <is>
          <t>Welch et al. (2024), war scenario with U.S. involved</t>
        </is>
      </c>
    </row>
    <row r="19">
      <c r="A19" t="inlineStr">
        <is>
          <t>US_SHOCK_Y1</t>
        </is>
      </c>
      <c r="B19" s="4" t="n">
        <v>-6.7</v>
      </c>
      <c r="C19" t="inlineStr">
        <is>
          <t>% below baseline in year one</t>
        </is>
      </c>
      <c r="D19" t="inlineStr">
        <is>
          <t>Welch et al. (2024), same scenario</t>
        </is>
      </c>
    </row>
    <row r="20">
      <c r="A20" t="inlineStr">
        <is>
          <t>BASE_RECOVERY_RATE</t>
        </is>
      </c>
      <c r="B20" s="4" t="n">
        <v>0</v>
      </c>
      <c r="C20" t="inlineStr">
        <is>
          <t>share of remaining gap closed per year without stimulus</t>
        </is>
      </c>
      <c r="D20" t="inlineStr">
        <is>
          <t>Benmelech &amp; Monteiro (2026); Abiad et al. (2009)</t>
        </is>
      </c>
    </row>
    <row r="21">
      <c r="A21" t="inlineStr">
        <is>
          <t>STIM_PER_10PTS</t>
        </is>
      </c>
      <c r="B21" s="4" t="n">
        <v>5</v>
      </c>
      <c r="C21" t="inlineStr">
        <is>
          <t>% of GDP of stimulus per 10 points of year-one loss</t>
        </is>
      </c>
      <c r="D21" t="inlineStr">
        <is>
          <t>Assumption; tested 0–10 in Sensitivity</t>
        </is>
      </c>
    </row>
    <row r="22">
      <c r="A22" t="inlineStr">
        <is>
          <t>FISCAL_EFFECT</t>
        </is>
      </c>
      <c r="B22" s="4" t="n">
        <v>1.5</v>
      </c>
      <c r="C22" t="inlineStr">
        <is>
          <t>points of loss avoided per 1% of GDP of stimulus</t>
        </is>
      </c>
      <c r="D22" t="inlineStr">
        <is>
          <t>Abiad et al. (2009) — verify against the PDF before final</t>
        </is>
      </c>
    </row>
    <row r="23">
      <c r="A23" t="inlineStr">
        <is>
          <t>CHN_AGING_PENALTY</t>
        </is>
      </c>
      <c r="B23" s="4" t="n">
        <v>0.3</v>
      </c>
      <c r="C23" t="inlineStr">
        <is>
          <t>decimal</t>
        </is>
      </c>
      <c r="D23" t="inlineStr">
        <is>
          <t>Chen et al. (2025): monetary stimulus output effect 30%+ smaller in aging China</t>
        </is>
      </c>
    </row>
    <row r="24">
      <c r="A24" t="inlineStr">
        <is>
          <t>US_AGING_PENALTY</t>
        </is>
      </c>
      <c r="B24" s="4" t="n">
        <v>0.38</v>
      </c>
      <c r="C24" t="inlineStr">
        <is>
          <t>decimal</t>
        </is>
      </c>
      <c r="D24" t="inlineStr">
        <is>
          <t>Basso &amp; Rachedi (2021): U.S. aging cut the spending multiplier 38% (1980–2015)</t>
        </is>
      </c>
    </row>
    <row r="25">
      <c r="A25" t="inlineStr">
        <is>
          <t>CHN_WAP_2027</t>
        </is>
      </c>
      <c r="B25" s="4" t="n">
        <v>983.812239</v>
      </c>
      <c r="C25" t="inlineStr">
        <is>
          <t>million, ages 15–64 (projected)</t>
        </is>
      </c>
      <c r="D25" t="inlineStr">
        <is>
          <t>World Bank, Population estimates and projections (2026)</t>
        </is>
      </c>
    </row>
    <row r="26">
      <c r="A26" t="inlineStr">
        <is>
          <t>CHN_WAP_2031</t>
        </is>
      </c>
      <c r="B26" s="4" t="n">
        <v>958.656955</v>
      </c>
      <c r="C26" t="inlineStr">
        <is>
          <t>million, ages 15–64 (projected)</t>
        </is>
      </c>
      <c r="D26" t="inlineStr">
        <is>
          <t>World Bank, Population estimates and projections (2026)</t>
        </is>
      </c>
    </row>
    <row r="27">
      <c r="A27" t="inlineStr">
        <is>
          <t>US_WAP_2027</t>
        </is>
      </c>
      <c r="B27" s="4" t="n">
        <v>220.751816</v>
      </c>
      <c r="C27" t="inlineStr">
        <is>
          <t>million, ages 15–64 (projected)</t>
        </is>
      </c>
      <c r="D27" t="inlineStr">
        <is>
          <t>World Bank, Population estimates and projections (2026)</t>
        </is>
      </c>
    </row>
    <row r="28">
      <c r="A28" t="inlineStr">
        <is>
          <t>US_WAP_2031</t>
        </is>
      </c>
      <c r="B28" s="4" t="n">
        <v>221.795554</v>
      </c>
      <c r="C28" t="inlineStr">
        <is>
          <t>million, ages 15–64 (projected)</t>
        </is>
      </c>
      <c r="D28" t="inlineStr">
        <is>
          <t>World Bank, Population estimates and projections (2026)</t>
        </is>
      </c>
    </row>
    <row r="29">
      <c r="A29" t="inlineStr">
        <is>
          <t>CHN_LABOR_FACTOR</t>
        </is>
      </c>
      <c r="B29">
        <f>CHN_WAP_2031/CHN_WAP_2027</f>
        <v/>
      </c>
      <c r="C29" t="inlineStr">
        <is>
          <t>ratio</t>
        </is>
      </c>
      <c r="D29" t="inlineStr">
        <is>
          <t>Derived: workforce change during the war and recovery years</t>
        </is>
      </c>
    </row>
    <row r="30">
      <c r="A30" t="inlineStr">
        <is>
          <t>US_LABOR_FACTOR</t>
        </is>
      </c>
      <c r="B30">
        <f>US_WAP_2031/US_WAP_2027</f>
        <v/>
      </c>
      <c r="C30" t="inlineStr">
        <is>
          <t>ratio</t>
        </is>
      </c>
      <c r="D30" t="inlineStr">
        <is>
          <t>Derived</t>
        </is>
      </c>
    </row>
    <row r="31">
      <c r="A31" t="inlineStr">
        <is>
          <t>CHN_WAP_2015</t>
        </is>
      </c>
      <c r="B31" s="4" t="n">
        <v>988.372117</v>
      </c>
      <c r="C31" t="inlineStr">
        <is>
          <t>million, ages 15–64</t>
        </is>
      </c>
      <c r="D31" t="inlineStr">
        <is>
          <t>World Bank (WDI) — Sensitivity only</t>
        </is>
      </c>
    </row>
    <row r="32">
      <c r="A32" t="inlineStr">
        <is>
          <t>CHN_WAP_2025</t>
        </is>
      </c>
      <c r="B32" s="4" t="n">
        <v>980.126399</v>
      </c>
      <c r="C32" t="inlineStr">
        <is>
          <t>million, ages 15–64</t>
        </is>
      </c>
      <c r="D32" t="inlineStr">
        <is>
          <t>World Bank (WDI) — Sensitivity only</t>
        </is>
      </c>
    </row>
    <row r="33">
      <c r="A33" t="inlineStr">
        <is>
          <t>US_WAP_2015</t>
        </is>
      </c>
      <c r="B33" s="4" t="n">
        <v>214.00088</v>
      </c>
      <c r="C33" t="inlineStr">
        <is>
          <t>million, ages 15–64</t>
        </is>
      </c>
      <c r="D33" t="inlineStr">
        <is>
          <t>World Bank (WDI) — Sensitivity only</t>
        </is>
      </c>
    </row>
    <row r="34">
      <c r="A34" t="inlineStr">
        <is>
          <t>US_WAP_2025</t>
        </is>
      </c>
      <c r="B34" s="4" t="n">
        <v>220.498172</v>
      </c>
      <c r="C34" t="inlineStr">
        <is>
          <t>million, ages 15–64</t>
        </is>
      </c>
      <c r="D34" t="inlineStr">
        <is>
          <t>World Bank (WDI) — Sensitivity only</t>
        </is>
      </c>
    </row>
    <row r="35">
      <c r="A35" t="inlineStr">
        <is>
          <t>CHN_LABOR_FACTOR_1525</t>
        </is>
      </c>
      <c r="B35">
        <f>CHN_WAP_2025/CHN_WAP_2015</f>
        <v/>
      </c>
      <c r="C35" t="inlineStr">
        <is>
          <t>ratio</t>
        </is>
      </c>
      <c r="D35" t="inlineStr">
        <is>
          <t>Derived — Sensitivity only (2015–2025 version)</t>
        </is>
      </c>
    </row>
    <row r="36">
      <c r="A36" t="inlineStr">
        <is>
          <t>US_LABOR_FACTOR_1525</t>
        </is>
      </c>
      <c r="B36">
        <f>US_WAP_2025/US_WAP_2015</f>
        <v/>
      </c>
      <c r="C36" t="inlineStr">
        <is>
          <t>ratio</t>
        </is>
      </c>
      <c r="D36" t="inlineStr">
        <is>
          <t>Derived — Sensitivity only (2015–2025 version)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Baseline — no-war real GDP index (2026 = 100)</t>
        </is>
      </c>
    </row>
    <row r="2">
      <c r="A2" s="2" t="inlineStr">
        <is>
          <t>BASE_2026 = 100; BASE_t = BASE_{t−1} × (1 + G_t / 100), grown at IMF WEO April 2026 rates.</t>
        </is>
      </c>
    </row>
    <row r="3"/>
    <row r="4">
      <c r="A4" s="3" t="inlineStr">
        <is>
          <t>Year</t>
        </is>
      </c>
      <c r="B4" s="3" t="inlineStr">
        <is>
          <t>China growth %</t>
        </is>
      </c>
      <c r="C4" s="3" t="inlineStr">
        <is>
          <t>China index</t>
        </is>
      </c>
      <c r="D4" s="3" t="inlineStr">
        <is>
          <t>U.S. growth %</t>
        </is>
      </c>
      <c r="E4" s="3" t="inlineStr">
        <is>
          <t>U.S. index</t>
        </is>
      </c>
    </row>
    <row r="5">
      <c r="A5" t="n">
        <v>2026</v>
      </c>
      <c r="B5">
        <f>CHN_G_2026</f>
        <v/>
      </c>
      <c r="C5" t="n">
        <v>100</v>
      </c>
      <c r="D5">
        <f>US_G_2026</f>
        <v/>
      </c>
      <c r="E5" t="n">
        <v>100</v>
      </c>
    </row>
    <row r="6">
      <c r="A6" t="n">
        <v>2027</v>
      </c>
      <c r="B6">
        <f>CHN_G_2027</f>
        <v/>
      </c>
      <c r="C6">
        <f>C5*(1+B6/100)</f>
        <v/>
      </c>
      <c r="D6">
        <f>US_G_2027</f>
        <v/>
      </c>
      <c r="E6">
        <f>E5*(1+D6/100)</f>
        <v/>
      </c>
    </row>
    <row r="7">
      <c r="A7" t="n">
        <v>2028</v>
      </c>
      <c r="B7">
        <f>CHN_G_2028</f>
        <v/>
      </c>
      <c r="C7">
        <f>C6*(1+B7/100)</f>
        <v/>
      </c>
      <c r="D7">
        <f>US_G_2028</f>
        <v/>
      </c>
      <c r="E7">
        <f>E6*(1+D7/100)</f>
        <v/>
      </c>
    </row>
    <row r="8">
      <c r="A8" t="n">
        <v>2029</v>
      </c>
      <c r="B8">
        <f>CHN_G_2029</f>
        <v/>
      </c>
      <c r="C8">
        <f>C7*(1+B8/100)</f>
        <v/>
      </c>
      <c r="D8">
        <f>US_G_2029</f>
        <v/>
      </c>
      <c r="E8">
        <f>E7*(1+D8/100)</f>
        <v/>
      </c>
    </row>
    <row r="9">
      <c r="A9" t="n">
        <v>2030</v>
      </c>
      <c r="B9">
        <f>CHN_G_2030</f>
        <v/>
      </c>
      <c r="C9">
        <f>C8*(1+B9/100)</f>
        <v/>
      </c>
      <c r="D9">
        <f>US_G_2030</f>
        <v/>
      </c>
      <c r="E9">
        <f>E8*(1+D9/100)</f>
        <v/>
      </c>
    </row>
    <row r="10">
      <c r="A10" t="n">
        <v>2031</v>
      </c>
      <c r="B10">
        <f>CHN_G_2031</f>
        <v/>
      </c>
      <c r="C10">
        <f>C9*(1+B10/100)</f>
        <v/>
      </c>
      <c r="D10">
        <f>US_G_2031</f>
        <v/>
      </c>
      <c r="E10">
        <f>E9*(1+D10/100)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2" customWidth="1" min="4" max="4"/>
    <col width="20" customWidth="1" min="5" max="5"/>
    <col width="20" customWidth="1" min="6" max="6"/>
  </cols>
  <sheetData>
    <row r="1">
      <c r="A1" s="1" t="inlineStr">
        <is>
          <t>Scenario — year-one gap (2027), then years 2–5 (2028–2031)</t>
        </is>
      </c>
    </row>
    <row r="2">
      <c r="A2" s="2" t="inlineStr">
        <is>
          <t>GAP_t = MIN(0, GAP_{t−1} × (1 − BASE_RECOVERY_RATE) + RECOVERY_PTS / 4); SCEN_t = BASE_t × (1 + GAP_t / 100).</t>
        </is>
      </c>
    </row>
    <row r="3"/>
    <row r="4">
      <c r="A4" s="3" t="inlineStr">
        <is>
          <t>Stimulus and effectiveness</t>
        </is>
      </c>
      <c r="B4" s="3" t="inlineStr">
        <is>
          <t>China</t>
        </is>
      </c>
      <c r="C4" s="3" t="inlineStr">
        <is>
          <t>U.S.</t>
        </is>
      </c>
      <c r="D4" s="3" t="inlineStr">
        <is>
          <t>Unit / formula</t>
        </is>
      </c>
    </row>
    <row r="5">
      <c r="A5" t="inlineStr">
        <is>
          <t>STIM</t>
        </is>
      </c>
      <c r="B5">
        <f>STIM_PER_10PTS*ABS(CHN_SHOCK_Y1)/10</f>
        <v/>
      </c>
      <c r="C5">
        <f>STIM_PER_10PTS*ABS(US_SHOCK_Y1)/10</f>
        <v/>
      </c>
      <c r="D5" t="inlineStr">
        <is>
          <t>% of GDP = STIM_PER_10PTS × |SHOCK_Y1| / 10</t>
        </is>
      </c>
    </row>
    <row r="6">
      <c r="A6" t="inlineStr">
        <is>
          <t>EFFECTIVENESS</t>
        </is>
      </c>
      <c r="B6">
        <f>(1-CHN_AGING_PENALTY)*CHN_LABOR_FACTOR</f>
        <v/>
      </c>
      <c r="C6">
        <f>(1-US_AGING_PENALTY)*US_LABOR_FACTOR</f>
        <v/>
      </c>
      <c r="D6" t="inlineStr">
        <is>
          <t>(1 − AGING_PENALTY) × LABOR_FACTOR</t>
        </is>
      </c>
    </row>
    <row r="7">
      <c r="A7" t="inlineStr">
        <is>
          <t>RECOVERY_PTS</t>
        </is>
      </c>
      <c r="B7">
        <f>CHN_STIM*FISCAL_EFFECT*CHN_EFFECTIVENESS</f>
        <v/>
      </c>
      <c r="C7">
        <f>US_STIM*FISCAL_EFFECT*US_EFFECTIVENESS</f>
        <v/>
      </c>
      <c r="D7" t="inlineStr">
        <is>
          <t>points of gap closed by year 5 = STIM × FISCAL_EFFECT × EFFECTIVENESS</t>
        </is>
      </c>
    </row>
    <row r="8"/>
    <row r="9">
      <c r="A9" s="3" t="inlineStr">
        <is>
          <t>Year</t>
        </is>
      </c>
      <c r="B9" s="3" t="inlineStr">
        <is>
          <t>Year of conflict</t>
        </is>
      </c>
      <c r="C9" s="3" t="inlineStr">
        <is>
          <t>China gap %</t>
        </is>
      </c>
      <c r="D9" s="3" t="inlineStr">
        <is>
          <t>China scenario index</t>
        </is>
      </c>
      <c r="E9" s="3" t="inlineStr">
        <is>
          <t>U.S. gap %</t>
        </is>
      </c>
      <c r="F9" s="3" t="inlineStr">
        <is>
          <t>U.S. scenario index</t>
        </is>
      </c>
    </row>
    <row r="10">
      <c r="A10" t="n">
        <v>2027</v>
      </c>
      <c r="B10">
        <f>A10-CONFLICT_YEAR+1</f>
        <v/>
      </c>
      <c r="C10">
        <f>CHN_SHOCK_Y1</f>
        <v/>
      </c>
      <c r="D10">
        <f>CHN_BASE_2027*(1+C10/100)</f>
        <v/>
      </c>
      <c r="E10">
        <f>US_SHOCK_Y1</f>
        <v/>
      </c>
      <c r="F10">
        <f>US_BASE_2027*(1+E10/100)</f>
        <v/>
      </c>
    </row>
    <row r="11">
      <c r="A11" t="n">
        <v>2028</v>
      </c>
      <c r="B11">
        <f>A11-CONFLICT_YEAR+1</f>
        <v/>
      </c>
      <c r="C11">
        <f>MIN(0,C10*(1-BASE_RECOVERY_RATE)+CHN_RECOVERY_PTS/4)</f>
        <v/>
      </c>
      <c r="D11">
        <f>CHN_BASE_2028*(1+C11/100)</f>
        <v/>
      </c>
      <c r="E11">
        <f>MIN(0,E10*(1-BASE_RECOVERY_RATE)+US_RECOVERY_PTS/4)</f>
        <v/>
      </c>
      <c r="F11">
        <f>US_BASE_2028*(1+E11/100)</f>
        <v/>
      </c>
    </row>
    <row r="12">
      <c r="A12" t="n">
        <v>2029</v>
      </c>
      <c r="B12">
        <f>A12-CONFLICT_YEAR+1</f>
        <v/>
      </c>
      <c r="C12">
        <f>MIN(0,C11*(1-BASE_RECOVERY_RATE)+CHN_RECOVERY_PTS/4)</f>
        <v/>
      </c>
      <c r="D12">
        <f>CHN_BASE_2029*(1+C12/100)</f>
        <v/>
      </c>
      <c r="E12">
        <f>MIN(0,E11*(1-BASE_RECOVERY_RATE)+US_RECOVERY_PTS/4)</f>
        <v/>
      </c>
      <c r="F12">
        <f>US_BASE_2029*(1+E12/100)</f>
        <v/>
      </c>
    </row>
    <row r="13">
      <c r="A13" t="n">
        <v>2030</v>
      </c>
      <c r="B13">
        <f>A13-CONFLICT_YEAR+1</f>
        <v/>
      </c>
      <c r="C13">
        <f>MIN(0,C12*(1-BASE_RECOVERY_RATE)+CHN_RECOVERY_PTS/4)</f>
        <v/>
      </c>
      <c r="D13">
        <f>CHN_BASE_2030*(1+C13/100)</f>
        <v/>
      </c>
      <c r="E13">
        <f>MIN(0,E12*(1-BASE_RECOVERY_RATE)+US_RECOVERY_PTS/4)</f>
        <v/>
      </c>
      <c r="F13">
        <f>US_BASE_2030*(1+E13/100)</f>
        <v/>
      </c>
    </row>
    <row r="14">
      <c r="A14" t="n">
        <v>2031</v>
      </c>
      <c r="B14">
        <f>A14-CONFLICT_YEAR+1</f>
        <v/>
      </c>
      <c r="C14">
        <f>MIN(0,C13*(1-BASE_RECOVERY_RATE)+CHN_RECOVERY_PTS/4)</f>
        <v/>
      </c>
      <c r="D14">
        <f>CHN_BASE_2031*(1+C14/100)</f>
        <v/>
      </c>
      <c r="E14">
        <f>MIN(0,E13*(1-BASE_RECOVERY_RATE)+US_RECOVERY_PTS/4)</f>
        <v/>
      </c>
      <c r="F14">
        <f>US_BASE_2031*(1+E14/100)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Recovery — share of the year-one loss recovered by year 5 (2031)</t>
        </is>
      </c>
    </row>
    <row r="2">
      <c r="A2" s="2" t="inlineStr">
        <is>
          <t>RECOVERED_5 = 1 − GAP_2031 / GAP_2027. Falsifier from the brief: if China's RECOVERED_5 ≥ the U.S. RECOVERED_5, the hypothesis is wrong.</t>
        </is>
      </c>
    </row>
    <row r="3"/>
    <row r="4">
      <c r="A4" s="3" t="inlineStr">
        <is>
          <t>Measure</t>
        </is>
      </c>
      <c r="B4" s="3" t="inlineStr">
        <is>
          <t>China</t>
        </is>
      </c>
      <c r="C4" s="3" t="inlineStr">
        <is>
          <t>U.S.</t>
        </is>
      </c>
      <c r="D4" s="3" t="inlineStr">
        <is>
          <t>Note</t>
        </is>
      </c>
    </row>
    <row r="5">
      <c r="A5" t="inlineStr">
        <is>
          <t>Year-one gap (2027), %</t>
        </is>
      </c>
      <c r="B5">
        <f>CHN_GAP_2027</f>
        <v/>
      </c>
      <c r="C5">
        <f>US_GAP_2027</f>
        <v/>
      </c>
    </row>
    <row r="6">
      <c r="A6" t="inlineStr">
        <is>
          <t>Year-5 gap (2031), %</t>
        </is>
      </c>
      <c r="B6">
        <f>CHN_GAP_2031</f>
        <v/>
      </c>
      <c r="C6">
        <f>US_GAP_2031</f>
        <v/>
      </c>
    </row>
    <row r="7">
      <c r="A7" t="inlineStr">
        <is>
          <t>RECOVERED_5</t>
        </is>
      </c>
      <c r="B7" s="5">
        <f>1-CHN_GAP_2031/CHN_GAP_2027</f>
        <v/>
      </c>
      <c r="C7" s="5">
        <f>1-US_GAP_2031/US_GAP_2027</f>
        <v/>
      </c>
    </row>
    <row r="8">
      <c r="A8" t="inlineStr">
        <is>
          <t>U.S. minus China (percentage points)</t>
        </is>
      </c>
      <c r="B8">
        <f>(US_RECOVERED_5-CHN_RECOVERED_5)*100</f>
        <v/>
      </c>
      <c r="D8" t="inlineStr">
        <is>
          <t>Positive = U.S. recovers a larger share (what the hypothesis predicts)</t>
        </is>
      </c>
    </row>
    <row r="9"/>
    <row r="10">
      <c r="A10" s="6" t="inlineStr">
        <is>
          <t>Falsifier rule</t>
        </is>
      </c>
      <c r="B10" t="inlineStr">
        <is>
          <t>If China's RECOVERED_5 ≥ U.S. RECOVERED_5, the hypothesis is wrong.</t>
        </is>
      </c>
    </row>
    <row r="11">
      <c r="A11" s="6" t="inlineStr">
        <is>
          <t>HYPOTHESIS_RESULT</t>
        </is>
      </c>
      <c r="B11" s="6">
        <f>IF(CHN_RECOVERED_5&gt;=US_RECOVERED_5,"FAIL — falsifier triggered","PASS — hypothesis survives")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Sensitivity — one input changed per row, everything else from Inputs</t>
        </is>
      </c>
    </row>
    <row r="2">
      <c r="A2" s="2" t="inlineStr">
        <is>
          <t>Each row reruns the full gap path with its own values. Changed value is shown in the row; other columns reference the named inputs.</t>
        </is>
      </c>
    </row>
    <row r="3"/>
    <row r="4">
      <c r="A4" s="3" t="inlineStr">
        <is>
          <t>Case</t>
        </is>
      </c>
      <c r="B4" s="3" t="inlineStr">
        <is>
          <t>STIM_PER_10PTS</t>
        </is>
      </c>
      <c r="C4" s="3" t="inlineStr">
        <is>
          <t>BASE_RECOVERY_RATE</t>
        </is>
      </c>
      <c r="D4" s="3" t="inlineStr">
        <is>
          <t>CHN_AGING_PENALTY</t>
        </is>
      </c>
      <c r="E4" s="3" t="inlineStr">
        <is>
          <t>US_AGING_PENALTY</t>
        </is>
      </c>
      <c r="F4" s="3" t="inlineStr">
        <is>
          <t>CHN_LABOR_FACTOR</t>
        </is>
      </c>
      <c r="G4" s="3" t="inlineStr">
        <is>
          <t>US_LABOR_FACTOR</t>
        </is>
      </c>
      <c r="H4" s="3" t="inlineStr">
        <is>
          <t>CHN gap 2027</t>
        </is>
      </c>
      <c r="I4" s="3" t="inlineStr">
        <is>
          <t>CHN gap 2028</t>
        </is>
      </c>
      <c r="J4" s="3" t="inlineStr">
        <is>
          <t>CHN gap 2029</t>
        </is>
      </c>
      <c r="K4" s="3" t="inlineStr">
        <is>
          <t>CHN gap 2030</t>
        </is>
      </c>
      <c r="L4" s="3" t="inlineStr">
        <is>
          <t>CHN gap 2031</t>
        </is>
      </c>
      <c r="M4" s="3" t="inlineStr">
        <is>
          <t>US gap 2027</t>
        </is>
      </c>
      <c r="N4" s="3" t="inlineStr">
        <is>
          <t>US gap 2028</t>
        </is>
      </c>
      <c r="O4" s="3" t="inlineStr">
        <is>
          <t>US gap 2029</t>
        </is>
      </c>
      <c r="P4" s="3" t="inlineStr">
        <is>
          <t>US gap 2030</t>
        </is>
      </c>
      <c r="Q4" s="3" t="inlineStr">
        <is>
          <t>US gap 2031</t>
        </is>
      </c>
      <c r="R4" s="3" t="inlineStr">
        <is>
          <t>CHN RECOVERED_5</t>
        </is>
      </c>
      <c r="S4" s="3" t="inlineStr">
        <is>
          <t>US RECOVERED_5</t>
        </is>
      </c>
      <c r="T4" s="3" t="inlineStr">
        <is>
          <t>U.S. − China (pts)</t>
        </is>
      </c>
      <c r="U4" s="3" t="inlineStr">
        <is>
          <t>Falsifier</t>
        </is>
      </c>
    </row>
    <row r="5">
      <c r="A5" t="inlineStr">
        <is>
          <t>Main result (locked inputs)</t>
        </is>
      </c>
      <c r="B5">
        <f>STIM_PER_10PTS</f>
        <v/>
      </c>
      <c r="C5">
        <f>BASE_RECOVERY_RATE</f>
        <v/>
      </c>
      <c r="D5">
        <f>CHN_AGING_PENALTY</f>
        <v/>
      </c>
      <c r="E5">
        <f>US_AGING_PENALTY</f>
        <v/>
      </c>
      <c r="F5">
        <f>CHN_LABOR_FACTOR</f>
        <v/>
      </c>
      <c r="G5">
        <f>US_LABOR_FACTOR</f>
        <v/>
      </c>
      <c r="H5">
        <f>CHN_SHOCK_Y1</f>
        <v/>
      </c>
      <c r="I5">
        <f>MIN(0,H5*(1-$C5)+($B5*ABS(CHN_SHOCK_Y1)/10*FISCAL_EFFECT*(1-$D5)*$F5)/4)</f>
        <v/>
      </c>
      <c r="J5">
        <f>MIN(0,I5*(1-$C5)+($B5*ABS(CHN_SHOCK_Y1)/10*FISCAL_EFFECT*(1-$D5)*$F5)/4)</f>
        <v/>
      </c>
      <c r="K5">
        <f>MIN(0,J5*(1-$C5)+($B5*ABS(CHN_SHOCK_Y1)/10*FISCAL_EFFECT*(1-$D5)*$F5)/4)</f>
        <v/>
      </c>
      <c r="L5">
        <f>MIN(0,K5*(1-$C5)+($B5*ABS(CHN_SHOCK_Y1)/10*FISCAL_EFFECT*(1-$D5)*$F5)/4)</f>
        <v/>
      </c>
      <c r="M5">
        <f>US_SHOCK_Y1</f>
        <v/>
      </c>
      <c r="N5">
        <f>MIN(0,M5*(1-$C5)+($B5*ABS(US_SHOCK_Y1)/10*FISCAL_EFFECT*(1-$E5)*$G5)/4)</f>
        <v/>
      </c>
      <c r="O5">
        <f>MIN(0,N5*(1-$C5)+($B5*ABS(US_SHOCK_Y1)/10*FISCAL_EFFECT*(1-$E5)*$G5)/4)</f>
        <v/>
      </c>
      <c r="P5">
        <f>MIN(0,O5*(1-$C5)+($B5*ABS(US_SHOCK_Y1)/10*FISCAL_EFFECT*(1-$E5)*$G5)/4)</f>
        <v/>
      </c>
      <c r="Q5">
        <f>MIN(0,P5*(1-$C5)+($B5*ABS(US_SHOCK_Y1)/10*FISCAL_EFFECT*(1-$E5)*$G5)/4)</f>
        <v/>
      </c>
      <c r="R5" s="5">
        <f>1-L5/H5</f>
        <v/>
      </c>
      <c r="S5" s="5">
        <f>1-Q5/M5</f>
        <v/>
      </c>
      <c r="T5">
        <f>(S5-R5)*100</f>
        <v/>
      </c>
      <c r="U5">
        <f>IF(R5&gt;=S5,"FAIL","PASS")</f>
        <v/>
      </c>
    </row>
    <row r="6">
      <c r="A6" t="inlineStr">
        <is>
          <t>STIM_PER_10PTS = 0</t>
        </is>
      </c>
      <c r="B6" s="4" t="n">
        <v>0</v>
      </c>
      <c r="C6">
        <f>BASE_RECOVERY_RATE</f>
        <v/>
      </c>
      <c r="D6">
        <f>CHN_AGING_PENALTY</f>
        <v/>
      </c>
      <c r="E6">
        <f>US_AGING_PENALTY</f>
        <v/>
      </c>
      <c r="F6">
        <f>CHN_LABOR_FACTOR</f>
        <v/>
      </c>
      <c r="G6">
        <f>US_LABOR_FACTOR</f>
        <v/>
      </c>
      <c r="H6">
        <f>CHN_SHOCK_Y1</f>
        <v/>
      </c>
      <c r="I6">
        <f>MIN(0,H6*(1-$C6)+($B6*ABS(CHN_SHOCK_Y1)/10*FISCAL_EFFECT*(1-$D6)*$F6)/4)</f>
        <v/>
      </c>
      <c r="J6">
        <f>MIN(0,I6*(1-$C6)+($B6*ABS(CHN_SHOCK_Y1)/10*FISCAL_EFFECT*(1-$D6)*$F6)/4)</f>
        <v/>
      </c>
      <c r="K6">
        <f>MIN(0,J6*(1-$C6)+($B6*ABS(CHN_SHOCK_Y1)/10*FISCAL_EFFECT*(1-$D6)*$F6)/4)</f>
        <v/>
      </c>
      <c r="L6">
        <f>MIN(0,K6*(1-$C6)+($B6*ABS(CHN_SHOCK_Y1)/10*FISCAL_EFFECT*(1-$D6)*$F6)/4)</f>
        <v/>
      </c>
      <c r="M6">
        <f>US_SHOCK_Y1</f>
        <v/>
      </c>
      <c r="N6">
        <f>MIN(0,M6*(1-$C6)+($B6*ABS(US_SHOCK_Y1)/10*FISCAL_EFFECT*(1-$E6)*$G6)/4)</f>
        <v/>
      </c>
      <c r="O6">
        <f>MIN(0,N6*(1-$C6)+($B6*ABS(US_SHOCK_Y1)/10*FISCAL_EFFECT*(1-$E6)*$G6)/4)</f>
        <v/>
      </c>
      <c r="P6">
        <f>MIN(0,O6*(1-$C6)+($B6*ABS(US_SHOCK_Y1)/10*FISCAL_EFFECT*(1-$E6)*$G6)/4)</f>
        <v/>
      </c>
      <c r="Q6">
        <f>MIN(0,P6*(1-$C6)+($B6*ABS(US_SHOCK_Y1)/10*FISCAL_EFFECT*(1-$E6)*$G6)/4)</f>
        <v/>
      </c>
      <c r="R6" s="5">
        <f>1-L6/H6</f>
        <v/>
      </c>
      <c r="S6" s="5">
        <f>1-Q6/M6</f>
        <v/>
      </c>
      <c r="T6">
        <f>(S6-R6)*100</f>
        <v/>
      </c>
      <c r="U6">
        <f>IF(R6&gt;=S6,"FAIL","PASS")</f>
        <v/>
      </c>
    </row>
    <row r="7">
      <c r="A7" t="inlineStr">
        <is>
          <t>STIM_PER_10PTS = 2.5</t>
        </is>
      </c>
      <c r="B7" s="4" t="n">
        <v>2.5</v>
      </c>
      <c r="C7">
        <f>BASE_RECOVERY_RATE</f>
        <v/>
      </c>
      <c r="D7">
        <f>CHN_AGING_PENALTY</f>
        <v/>
      </c>
      <c r="E7">
        <f>US_AGING_PENALTY</f>
        <v/>
      </c>
      <c r="F7">
        <f>CHN_LABOR_FACTOR</f>
        <v/>
      </c>
      <c r="G7">
        <f>US_LABOR_FACTOR</f>
        <v/>
      </c>
      <c r="H7">
        <f>CHN_SHOCK_Y1</f>
        <v/>
      </c>
      <c r="I7">
        <f>MIN(0,H7*(1-$C7)+($B7*ABS(CHN_SHOCK_Y1)/10*FISCAL_EFFECT*(1-$D7)*$F7)/4)</f>
        <v/>
      </c>
      <c r="J7">
        <f>MIN(0,I7*(1-$C7)+($B7*ABS(CHN_SHOCK_Y1)/10*FISCAL_EFFECT*(1-$D7)*$F7)/4)</f>
        <v/>
      </c>
      <c r="K7">
        <f>MIN(0,J7*(1-$C7)+($B7*ABS(CHN_SHOCK_Y1)/10*FISCAL_EFFECT*(1-$D7)*$F7)/4)</f>
        <v/>
      </c>
      <c r="L7">
        <f>MIN(0,K7*(1-$C7)+($B7*ABS(CHN_SHOCK_Y1)/10*FISCAL_EFFECT*(1-$D7)*$F7)/4)</f>
        <v/>
      </c>
      <c r="M7">
        <f>US_SHOCK_Y1</f>
        <v/>
      </c>
      <c r="N7">
        <f>MIN(0,M7*(1-$C7)+($B7*ABS(US_SHOCK_Y1)/10*FISCAL_EFFECT*(1-$E7)*$G7)/4)</f>
        <v/>
      </c>
      <c r="O7">
        <f>MIN(0,N7*(1-$C7)+($B7*ABS(US_SHOCK_Y1)/10*FISCAL_EFFECT*(1-$E7)*$G7)/4)</f>
        <v/>
      </c>
      <c r="P7">
        <f>MIN(0,O7*(1-$C7)+($B7*ABS(US_SHOCK_Y1)/10*FISCAL_EFFECT*(1-$E7)*$G7)/4)</f>
        <v/>
      </c>
      <c r="Q7">
        <f>MIN(0,P7*(1-$C7)+($B7*ABS(US_SHOCK_Y1)/10*FISCAL_EFFECT*(1-$E7)*$G7)/4)</f>
        <v/>
      </c>
      <c r="R7" s="5">
        <f>1-L7/H7</f>
        <v/>
      </c>
      <c r="S7" s="5">
        <f>1-Q7/M7</f>
        <v/>
      </c>
      <c r="T7">
        <f>(S7-R7)*100</f>
        <v/>
      </c>
      <c r="U7">
        <f>IF(R7&gt;=S7,"FAIL","PASS")</f>
        <v/>
      </c>
    </row>
    <row r="8">
      <c r="A8" t="inlineStr">
        <is>
          <t>STIM_PER_10PTS = 5</t>
        </is>
      </c>
      <c r="B8" s="4" t="n">
        <v>5</v>
      </c>
      <c r="C8">
        <f>BASE_RECOVERY_RATE</f>
        <v/>
      </c>
      <c r="D8">
        <f>CHN_AGING_PENALTY</f>
        <v/>
      </c>
      <c r="E8">
        <f>US_AGING_PENALTY</f>
        <v/>
      </c>
      <c r="F8">
        <f>CHN_LABOR_FACTOR</f>
        <v/>
      </c>
      <c r="G8">
        <f>US_LABOR_FACTOR</f>
        <v/>
      </c>
      <c r="H8">
        <f>CHN_SHOCK_Y1</f>
        <v/>
      </c>
      <c r="I8">
        <f>MIN(0,H8*(1-$C8)+($B8*ABS(CHN_SHOCK_Y1)/10*FISCAL_EFFECT*(1-$D8)*$F8)/4)</f>
        <v/>
      </c>
      <c r="J8">
        <f>MIN(0,I8*(1-$C8)+($B8*ABS(CHN_SHOCK_Y1)/10*FISCAL_EFFECT*(1-$D8)*$F8)/4)</f>
        <v/>
      </c>
      <c r="K8">
        <f>MIN(0,J8*(1-$C8)+($B8*ABS(CHN_SHOCK_Y1)/10*FISCAL_EFFECT*(1-$D8)*$F8)/4)</f>
        <v/>
      </c>
      <c r="L8">
        <f>MIN(0,K8*(1-$C8)+($B8*ABS(CHN_SHOCK_Y1)/10*FISCAL_EFFECT*(1-$D8)*$F8)/4)</f>
        <v/>
      </c>
      <c r="M8">
        <f>US_SHOCK_Y1</f>
        <v/>
      </c>
      <c r="N8">
        <f>MIN(0,M8*(1-$C8)+($B8*ABS(US_SHOCK_Y1)/10*FISCAL_EFFECT*(1-$E8)*$G8)/4)</f>
        <v/>
      </c>
      <c r="O8">
        <f>MIN(0,N8*(1-$C8)+($B8*ABS(US_SHOCK_Y1)/10*FISCAL_EFFECT*(1-$E8)*$G8)/4)</f>
        <v/>
      </c>
      <c r="P8">
        <f>MIN(0,O8*(1-$C8)+($B8*ABS(US_SHOCK_Y1)/10*FISCAL_EFFECT*(1-$E8)*$G8)/4)</f>
        <v/>
      </c>
      <c r="Q8">
        <f>MIN(0,P8*(1-$C8)+($B8*ABS(US_SHOCK_Y1)/10*FISCAL_EFFECT*(1-$E8)*$G8)/4)</f>
        <v/>
      </c>
      <c r="R8" s="5">
        <f>1-L8/H8</f>
        <v/>
      </c>
      <c r="S8" s="5">
        <f>1-Q8/M8</f>
        <v/>
      </c>
      <c r="T8">
        <f>(S8-R8)*100</f>
        <v/>
      </c>
      <c r="U8">
        <f>IF(R8&gt;=S8,"FAIL","PASS")</f>
        <v/>
      </c>
    </row>
    <row r="9">
      <c r="A9" t="inlineStr">
        <is>
          <t>STIM_PER_10PTS = 7.5</t>
        </is>
      </c>
      <c r="B9" s="4" t="n">
        <v>7.5</v>
      </c>
      <c r="C9">
        <f>BASE_RECOVERY_RATE</f>
        <v/>
      </c>
      <c r="D9">
        <f>CHN_AGING_PENALTY</f>
        <v/>
      </c>
      <c r="E9">
        <f>US_AGING_PENALTY</f>
        <v/>
      </c>
      <c r="F9">
        <f>CHN_LABOR_FACTOR</f>
        <v/>
      </c>
      <c r="G9">
        <f>US_LABOR_FACTOR</f>
        <v/>
      </c>
      <c r="H9">
        <f>CHN_SHOCK_Y1</f>
        <v/>
      </c>
      <c r="I9">
        <f>MIN(0,H9*(1-$C9)+($B9*ABS(CHN_SHOCK_Y1)/10*FISCAL_EFFECT*(1-$D9)*$F9)/4)</f>
        <v/>
      </c>
      <c r="J9">
        <f>MIN(0,I9*(1-$C9)+($B9*ABS(CHN_SHOCK_Y1)/10*FISCAL_EFFECT*(1-$D9)*$F9)/4)</f>
        <v/>
      </c>
      <c r="K9">
        <f>MIN(0,J9*(1-$C9)+($B9*ABS(CHN_SHOCK_Y1)/10*FISCAL_EFFECT*(1-$D9)*$F9)/4)</f>
        <v/>
      </c>
      <c r="L9">
        <f>MIN(0,K9*(1-$C9)+($B9*ABS(CHN_SHOCK_Y1)/10*FISCAL_EFFECT*(1-$D9)*$F9)/4)</f>
        <v/>
      </c>
      <c r="M9">
        <f>US_SHOCK_Y1</f>
        <v/>
      </c>
      <c r="N9">
        <f>MIN(0,M9*(1-$C9)+($B9*ABS(US_SHOCK_Y1)/10*FISCAL_EFFECT*(1-$E9)*$G9)/4)</f>
        <v/>
      </c>
      <c r="O9">
        <f>MIN(0,N9*(1-$C9)+($B9*ABS(US_SHOCK_Y1)/10*FISCAL_EFFECT*(1-$E9)*$G9)/4)</f>
        <v/>
      </c>
      <c r="P9">
        <f>MIN(0,O9*(1-$C9)+($B9*ABS(US_SHOCK_Y1)/10*FISCAL_EFFECT*(1-$E9)*$G9)/4)</f>
        <v/>
      </c>
      <c r="Q9">
        <f>MIN(0,P9*(1-$C9)+($B9*ABS(US_SHOCK_Y1)/10*FISCAL_EFFECT*(1-$E9)*$G9)/4)</f>
        <v/>
      </c>
      <c r="R9" s="5">
        <f>1-L9/H9</f>
        <v/>
      </c>
      <c r="S9" s="5">
        <f>1-Q9/M9</f>
        <v/>
      </c>
      <c r="T9">
        <f>(S9-R9)*100</f>
        <v/>
      </c>
      <c r="U9">
        <f>IF(R9&gt;=S9,"FAIL","PASS")</f>
        <v/>
      </c>
    </row>
    <row r="10">
      <c r="A10" t="inlineStr">
        <is>
          <t>STIM_PER_10PTS = 10</t>
        </is>
      </c>
      <c r="B10" s="4" t="n">
        <v>10</v>
      </c>
      <c r="C10">
        <f>BASE_RECOVERY_RATE</f>
        <v/>
      </c>
      <c r="D10">
        <f>CHN_AGING_PENALTY</f>
        <v/>
      </c>
      <c r="E10">
        <f>US_AGING_PENALTY</f>
        <v/>
      </c>
      <c r="F10">
        <f>CHN_LABOR_FACTOR</f>
        <v/>
      </c>
      <c r="G10">
        <f>US_LABOR_FACTOR</f>
        <v/>
      </c>
      <c r="H10">
        <f>CHN_SHOCK_Y1</f>
        <v/>
      </c>
      <c r="I10">
        <f>MIN(0,H10*(1-$C10)+($B10*ABS(CHN_SHOCK_Y1)/10*FISCAL_EFFECT*(1-$D10)*$F10)/4)</f>
        <v/>
      </c>
      <c r="J10">
        <f>MIN(0,I10*(1-$C10)+($B10*ABS(CHN_SHOCK_Y1)/10*FISCAL_EFFECT*(1-$D10)*$F10)/4)</f>
        <v/>
      </c>
      <c r="K10">
        <f>MIN(0,J10*(1-$C10)+($B10*ABS(CHN_SHOCK_Y1)/10*FISCAL_EFFECT*(1-$D10)*$F10)/4)</f>
        <v/>
      </c>
      <c r="L10">
        <f>MIN(0,K10*(1-$C10)+($B10*ABS(CHN_SHOCK_Y1)/10*FISCAL_EFFECT*(1-$D10)*$F10)/4)</f>
        <v/>
      </c>
      <c r="M10">
        <f>US_SHOCK_Y1</f>
        <v/>
      </c>
      <c r="N10">
        <f>MIN(0,M10*(1-$C10)+($B10*ABS(US_SHOCK_Y1)/10*FISCAL_EFFECT*(1-$E10)*$G10)/4)</f>
        <v/>
      </c>
      <c r="O10">
        <f>MIN(0,N10*(1-$C10)+($B10*ABS(US_SHOCK_Y1)/10*FISCAL_EFFECT*(1-$E10)*$G10)/4)</f>
        <v/>
      </c>
      <c r="P10">
        <f>MIN(0,O10*(1-$C10)+($B10*ABS(US_SHOCK_Y1)/10*FISCAL_EFFECT*(1-$E10)*$G10)/4)</f>
        <v/>
      </c>
      <c r="Q10">
        <f>MIN(0,P10*(1-$C10)+($B10*ABS(US_SHOCK_Y1)/10*FISCAL_EFFECT*(1-$E10)*$G10)/4)</f>
        <v/>
      </c>
      <c r="R10" s="5">
        <f>1-L10/H10</f>
        <v/>
      </c>
      <c r="S10" s="5">
        <f>1-Q10/M10</f>
        <v/>
      </c>
      <c r="T10">
        <f>(S10-R10)*100</f>
        <v/>
      </c>
      <c r="U10">
        <f>IF(R10&gt;=S10,"FAIL","PASS")</f>
        <v/>
      </c>
    </row>
    <row r="11">
      <c r="A11" t="inlineStr">
        <is>
          <t>BASE_RECOVERY_RATE = 0</t>
        </is>
      </c>
      <c r="B11">
        <f>STIM_PER_10PTS</f>
        <v/>
      </c>
      <c r="C11" s="4" t="n">
        <v>0</v>
      </c>
      <c r="D11">
        <f>CHN_AGING_PENALTY</f>
        <v/>
      </c>
      <c r="E11">
        <f>US_AGING_PENALTY</f>
        <v/>
      </c>
      <c r="F11">
        <f>CHN_LABOR_FACTOR</f>
        <v/>
      </c>
      <c r="G11">
        <f>US_LABOR_FACTOR</f>
        <v/>
      </c>
      <c r="H11">
        <f>CHN_SHOCK_Y1</f>
        <v/>
      </c>
      <c r="I11">
        <f>MIN(0,H11*(1-$C11)+($B11*ABS(CHN_SHOCK_Y1)/10*FISCAL_EFFECT*(1-$D11)*$F11)/4)</f>
        <v/>
      </c>
      <c r="J11">
        <f>MIN(0,I11*(1-$C11)+($B11*ABS(CHN_SHOCK_Y1)/10*FISCAL_EFFECT*(1-$D11)*$F11)/4)</f>
        <v/>
      </c>
      <c r="K11">
        <f>MIN(0,J11*(1-$C11)+($B11*ABS(CHN_SHOCK_Y1)/10*FISCAL_EFFECT*(1-$D11)*$F11)/4)</f>
        <v/>
      </c>
      <c r="L11">
        <f>MIN(0,K11*(1-$C11)+($B11*ABS(CHN_SHOCK_Y1)/10*FISCAL_EFFECT*(1-$D11)*$F11)/4)</f>
        <v/>
      </c>
      <c r="M11">
        <f>US_SHOCK_Y1</f>
        <v/>
      </c>
      <c r="N11">
        <f>MIN(0,M11*(1-$C11)+($B11*ABS(US_SHOCK_Y1)/10*FISCAL_EFFECT*(1-$E11)*$G11)/4)</f>
        <v/>
      </c>
      <c r="O11">
        <f>MIN(0,N11*(1-$C11)+($B11*ABS(US_SHOCK_Y1)/10*FISCAL_EFFECT*(1-$E11)*$G11)/4)</f>
        <v/>
      </c>
      <c r="P11">
        <f>MIN(0,O11*(1-$C11)+($B11*ABS(US_SHOCK_Y1)/10*FISCAL_EFFECT*(1-$E11)*$G11)/4)</f>
        <v/>
      </c>
      <c r="Q11">
        <f>MIN(0,P11*(1-$C11)+($B11*ABS(US_SHOCK_Y1)/10*FISCAL_EFFECT*(1-$E11)*$G11)/4)</f>
        <v/>
      </c>
      <c r="R11" s="5">
        <f>1-L11/H11</f>
        <v/>
      </c>
      <c r="S11" s="5">
        <f>1-Q11/M11</f>
        <v/>
      </c>
      <c r="T11">
        <f>(S11-R11)*100</f>
        <v/>
      </c>
      <c r="U11">
        <f>IF(R11&gt;=S11,"FAIL","PASS")</f>
        <v/>
      </c>
    </row>
    <row r="12">
      <c r="A12" t="inlineStr">
        <is>
          <t>BASE_RECOVERY_RATE = 0.05</t>
        </is>
      </c>
      <c r="B12">
        <f>STIM_PER_10PTS</f>
        <v/>
      </c>
      <c r="C12" s="4" t="n">
        <v>0.05</v>
      </c>
      <c r="D12">
        <f>CHN_AGING_PENALTY</f>
        <v/>
      </c>
      <c r="E12">
        <f>US_AGING_PENALTY</f>
        <v/>
      </c>
      <c r="F12">
        <f>CHN_LABOR_FACTOR</f>
        <v/>
      </c>
      <c r="G12">
        <f>US_LABOR_FACTOR</f>
        <v/>
      </c>
      <c r="H12">
        <f>CHN_SHOCK_Y1</f>
        <v/>
      </c>
      <c r="I12">
        <f>MIN(0,H12*(1-$C12)+($B12*ABS(CHN_SHOCK_Y1)/10*FISCAL_EFFECT*(1-$D12)*$F12)/4)</f>
        <v/>
      </c>
      <c r="J12">
        <f>MIN(0,I12*(1-$C12)+($B12*ABS(CHN_SHOCK_Y1)/10*FISCAL_EFFECT*(1-$D12)*$F12)/4)</f>
        <v/>
      </c>
      <c r="K12">
        <f>MIN(0,J12*(1-$C12)+($B12*ABS(CHN_SHOCK_Y1)/10*FISCAL_EFFECT*(1-$D12)*$F12)/4)</f>
        <v/>
      </c>
      <c r="L12">
        <f>MIN(0,K12*(1-$C12)+($B12*ABS(CHN_SHOCK_Y1)/10*FISCAL_EFFECT*(1-$D12)*$F12)/4)</f>
        <v/>
      </c>
      <c r="M12">
        <f>US_SHOCK_Y1</f>
        <v/>
      </c>
      <c r="N12">
        <f>MIN(0,M12*(1-$C12)+($B12*ABS(US_SHOCK_Y1)/10*FISCAL_EFFECT*(1-$E12)*$G12)/4)</f>
        <v/>
      </c>
      <c r="O12">
        <f>MIN(0,N12*(1-$C12)+($B12*ABS(US_SHOCK_Y1)/10*FISCAL_EFFECT*(1-$E12)*$G12)/4)</f>
        <v/>
      </c>
      <c r="P12">
        <f>MIN(0,O12*(1-$C12)+($B12*ABS(US_SHOCK_Y1)/10*FISCAL_EFFECT*(1-$E12)*$G12)/4)</f>
        <v/>
      </c>
      <c r="Q12">
        <f>MIN(0,P12*(1-$C12)+($B12*ABS(US_SHOCK_Y1)/10*FISCAL_EFFECT*(1-$E12)*$G12)/4)</f>
        <v/>
      </c>
      <c r="R12" s="5">
        <f>1-L12/H12</f>
        <v/>
      </c>
      <c r="S12" s="5">
        <f>1-Q12/M12</f>
        <v/>
      </c>
      <c r="T12">
        <f>(S12-R12)*100</f>
        <v/>
      </c>
      <c r="U12">
        <f>IF(R12&gt;=S12,"FAIL","PASS")</f>
        <v/>
      </c>
    </row>
    <row r="13">
      <c r="A13" t="inlineStr">
        <is>
          <t>BASE_RECOVERY_RATE = 0.1</t>
        </is>
      </c>
      <c r="B13">
        <f>STIM_PER_10PTS</f>
        <v/>
      </c>
      <c r="C13" s="4" t="n">
        <v>0.1</v>
      </c>
      <c r="D13">
        <f>CHN_AGING_PENALTY</f>
        <v/>
      </c>
      <c r="E13">
        <f>US_AGING_PENALTY</f>
        <v/>
      </c>
      <c r="F13">
        <f>CHN_LABOR_FACTOR</f>
        <v/>
      </c>
      <c r="G13">
        <f>US_LABOR_FACTOR</f>
        <v/>
      </c>
      <c r="H13">
        <f>CHN_SHOCK_Y1</f>
        <v/>
      </c>
      <c r="I13">
        <f>MIN(0,H13*(1-$C13)+($B13*ABS(CHN_SHOCK_Y1)/10*FISCAL_EFFECT*(1-$D13)*$F13)/4)</f>
        <v/>
      </c>
      <c r="J13">
        <f>MIN(0,I13*(1-$C13)+($B13*ABS(CHN_SHOCK_Y1)/10*FISCAL_EFFECT*(1-$D13)*$F13)/4)</f>
        <v/>
      </c>
      <c r="K13">
        <f>MIN(0,J13*(1-$C13)+($B13*ABS(CHN_SHOCK_Y1)/10*FISCAL_EFFECT*(1-$D13)*$F13)/4)</f>
        <v/>
      </c>
      <c r="L13">
        <f>MIN(0,K13*(1-$C13)+($B13*ABS(CHN_SHOCK_Y1)/10*FISCAL_EFFECT*(1-$D13)*$F13)/4)</f>
        <v/>
      </c>
      <c r="M13">
        <f>US_SHOCK_Y1</f>
        <v/>
      </c>
      <c r="N13">
        <f>MIN(0,M13*(1-$C13)+($B13*ABS(US_SHOCK_Y1)/10*FISCAL_EFFECT*(1-$E13)*$G13)/4)</f>
        <v/>
      </c>
      <c r="O13">
        <f>MIN(0,N13*(1-$C13)+($B13*ABS(US_SHOCK_Y1)/10*FISCAL_EFFECT*(1-$E13)*$G13)/4)</f>
        <v/>
      </c>
      <c r="P13">
        <f>MIN(0,O13*(1-$C13)+($B13*ABS(US_SHOCK_Y1)/10*FISCAL_EFFECT*(1-$E13)*$G13)/4)</f>
        <v/>
      </c>
      <c r="Q13">
        <f>MIN(0,P13*(1-$C13)+($B13*ABS(US_SHOCK_Y1)/10*FISCAL_EFFECT*(1-$E13)*$G13)/4)</f>
        <v/>
      </c>
      <c r="R13" s="5">
        <f>1-L13/H13</f>
        <v/>
      </c>
      <c r="S13" s="5">
        <f>1-Q13/M13</f>
        <v/>
      </c>
      <c r="T13">
        <f>(S13-R13)*100</f>
        <v/>
      </c>
      <c r="U13">
        <f>IF(R13&gt;=S13,"FAIL","PASS")</f>
        <v/>
      </c>
    </row>
    <row r="14">
      <c r="A14" t="inlineStr">
        <is>
          <t>BASE_RECOVERY_RATE = 0.2</t>
        </is>
      </c>
      <c r="B14">
        <f>STIM_PER_10PTS</f>
        <v/>
      </c>
      <c r="C14" s="4" t="n">
        <v>0.2</v>
      </c>
      <c r="D14">
        <f>CHN_AGING_PENALTY</f>
        <v/>
      </c>
      <c r="E14">
        <f>US_AGING_PENALTY</f>
        <v/>
      </c>
      <c r="F14">
        <f>CHN_LABOR_FACTOR</f>
        <v/>
      </c>
      <c r="G14">
        <f>US_LABOR_FACTOR</f>
        <v/>
      </c>
      <c r="H14">
        <f>CHN_SHOCK_Y1</f>
        <v/>
      </c>
      <c r="I14">
        <f>MIN(0,H14*(1-$C14)+($B14*ABS(CHN_SHOCK_Y1)/10*FISCAL_EFFECT*(1-$D14)*$F14)/4)</f>
        <v/>
      </c>
      <c r="J14">
        <f>MIN(0,I14*(1-$C14)+($B14*ABS(CHN_SHOCK_Y1)/10*FISCAL_EFFECT*(1-$D14)*$F14)/4)</f>
        <v/>
      </c>
      <c r="K14">
        <f>MIN(0,J14*(1-$C14)+($B14*ABS(CHN_SHOCK_Y1)/10*FISCAL_EFFECT*(1-$D14)*$F14)/4)</f>
        <v/>
      </c>
      <c r="L14">
        <f>MIN(0,K14*(1-$C14)+($B14*ABS(CHN_SHOCK_Y1)/10*FISCAL_EFFECT*(1-$D14)*$F14)/4)</f>
        <v/>
      </c>
      <c r="M14">
        <f>US_SHOCK_Y1</f>
        <v/>
      </c>
      <c r="N14">
        <f>MIN(0,M14*(1-$C14)+($B14*ABS(US_SHOCK_Y1)/10*FISCAL_EFFECT*(1-$E14)*$G14)/4)</f>
        <v/>
      </c>
      <c r="O14">
        <f>MIN(0,N14*(1-$C14)+($B14*ABS(US_SHOCK_Y1)/10*FISCAL_EFFECT*(1-$E14)*$G14)/4)</f>
        <v/>
      </c>
      <c r="P14">
        <f>MIN(0,O14*(1-$C14)+($B14*ABS(US_SHOCK_Y1)/10*FISCAL_EFFECT*(1-$E14)*$G14)/4)</f>
        <v/>
      </c>
      <c r="Q14">
        <f>MIN(0,P14*(1-$C14)+($B14*ABS(US_SHOCK_Y1)/10*FISCAL_EFFECT*(1-$E14)*$G14)/4)</f>
        <v/>
      </c>
      <c r="R14" s="5">
        <f>1-L14/H14</f>
        <v/>
      </c>
      <c r="S14" s="5">
        <f>1-Q14/M14</f>
        <v/>
      </c>
      <c r="T14">
        <f>(S14-R14)*100</f>
        <v/>
      </c>
      <c r="U14">
        <f>IF(R14&gt;=S14,"FAIL","PASS")</f>
        <v/>
      </c>
    </row>
    <row r="15">
      <c r="A15" t="inlineStr">
        <is>
          <t>CHN_AGING_PENALTY = 0</t>
        </is>
      </c>
      <c r="B15">
        <f>STIM_PER_10PTS</f>
        <v/>
      </c>
      <c r="C15">
        <f>BASE_RECOVERY_RATE</f>
        <v/>
      </c>
      <c r="D15" s="4" t="n">
        <v>0</v>
      </c>
      <c r="E15">
        <f>US_AGING_PENALTY</f>
        <v/>
      </c>
      <c r="F15">
        <f>CHN_LABOR_FACTOR</f>
        <v/>
      </c>
      <c r="G15">
        <f>US_LABOR_FACTOR</f>
        <v/>
      </c>
      <c r="H15">
        <f>CHN_SHOCK_Y1</f>
        <v/>
      </c>
      <c r="I15">
        <f>MIN(0,H15*(1-$C15)+($B15*ABS(CHN_SHOCK_Y1)/10*FISCAL_EFFECT*(1-$D15)*$F15)/4)</f>
        <v/>
      </c>
      <c r="J15">
        <f>MIN(0,I15*(1-$C15)+($B15*ABS(CHN_SHOCK_Y1)/10*FISCAL_EFFECT*(1-$D15)*$F15)/4)</f>
        <v/>
      </c>
      <c r="K15">
        <f>MIN(0,J15*(1-$C15)+($B15*ABS(CHN_SHOCK_Y1)/10*FISCAL_EFFECT*(1-$D15)*$F15)/4)</f>
        <v/>
      </c>
      <c r="L15">
        <f>MIN(0,K15*(1-$C15)+($B15*ABS(CHN_SHOCK_Y1)/10*FISCAL_EFFECT*(1-$D15)*$F15)/4)</f>
        <v/>
      </c>
      <c r="M15">
        <f>US_SHOCK_Y1</f>
        <v/>
      </c>
      <c r="N15">
        <f>MIN(0,M15*(1-$C15)+($B15*ABS(US_SHOCK_Y1)/10*FISCAL_EFFECT*(1-$E15)*$G15)/4)</f>
        <v/>
      </c>
      <c r="O15">
        <f>MIN(0,N15*(1-$C15)+($B15*ABS(US_SHOCK_Y1)/10*FISCAL_EFFECT*(1-$E15)*$G15)/4)</f>
        <v/>
      </c>
      <c r="P15">
        <f>MIN(0,O15*(1-$C15)+($B15*ABS(US_SHOCK_Y1)/10*FISCAL_EFFECT*(1-$E15)*$G15)/4)</f>
        <v/>
      </c>
      <c r="Q15">
        <f>MIN(0,P15*(1-$C15)+($B15*ABS(US_SHOCK_Y1)/10*FISCAL_EFFECT*(1-$E15)*$G15)/4)</f>
        <v/>
      </c>
      <c r="R15" s="5">
        <f>1-L15/H15</f>
        <v/>
      </c>
      <c r="S15" s="5">
        <f>1-Q15/M15</f>
        <v/>
      </c>
      <c r="T15">
        <f>(S15-R15)*100</f>
        <v/>
      </c>
      <c r="U15">
        <f>IF(R15&gt;=S15,"FAIL","PASS")</f>
        <v/>
      </c>
    </row>
    <row r="16">
      <c r="A16" t="inlineStr">
        <is>
          <t>CHN_AGING_PENALTY = 0.15</t>
        </is>
      </c>
      <c r="B16">
        <f>STIM_PER_10PTS</f>
        <v/>
      </c>
      <c r="C16">
        <f>BASE_RECOVERY_RATE</f>
        <v/>
      </c>
      <c r="D16" s="4" t="n">
        <v>0.15</v>
      </c>
      <c r="E16">
        <f>US_AGING_PENALTY</f>
        <v/>
      </c>
      <c r="F16">
        <f>CHN_LABOR_FACTOR</f>
        <v/>
      </c>
      <c r="G16">
        <f>US_LABOR_FACTOR</f>
        <v/>
      </c>
      <c r="H16">
        <f>CHN_SHOCK_Y1</f>
        <v/>
      </c>
      <c r="I16">
        <f>MIN(0,H16*(1-$C16)+($B16*ABS(CHN_SHOCK_Y1)/10*FISCAL_EFFECT*(1-$D16)*$F16)/4)</f>
        <v/>
      </c>
      <c r="J16">
        <f>MIN(0,I16*(1-$C16)+($B16*ABS(CHN_SHOCK_Y1)/10*FISCAL_EFFECT*(1-$D16)*$F16)/4)</f>
        <v/>
      </c>
      <c r="K16">
        <f>MIN(0,J16*(1-$C16)+($B16*ABS(CHN_SHOCK_Y1)/10*FISCAL_EFFECT*(1-$D16)*$F16)/4)</f>
        <v/>
      </c>
      <c r="L16">
        <f>MIN(0,K16*(1-$C16)+($B16*ABS(CHN_SHOCK_Y1)/10*FISCAL_EFFECT*(1-$D16)*$F16)/4)</f>
        <v/>
      </c>
      <c r="M16">
        <f>US_SHOCK_Y1</f>
        <v/>
      </c>
      <c r="N16">
        <f>MIN(0,M16*(1-$C16)+($B16*ABS(US_SHOCK_Y1)/10*FISCAL_EFFECT*(1-$E16)*$G16)/4)</f>
        <v/>
      </c>
      <c r="O16">
        <f>MIN(0,N16*(1-$C16)+($B16*ABS(US_SHOCK_Y1)/10*FISCAL_EFFECT*(1-$E16)*$G16)/4)</f>
        <v/>
      </c>
      <c r="P16">
        <f>MIN(0,O16*(1-$C16)+($B16*ABS(US_SHOCK_Y1)/10*FISCAL_EFFECT*(1-$E16)*$G16)/4)</f>
        <v/>
      </c>
      <c r="Q16">
        <f>MIN(0,P16*(1-$C16)+($B16*ABS(US_SHOCK_Y1)/10*FISCAL_EFFECT*(1-$E16)*$G16)/4)</f>
        <v/>
      </c>
      <c r="R16" s="5">
        <f>1-L16/H16</f>
        <v/>
      </c>
      <c r="S16" s="5">
        <f>1-Q16/M16</f>
        <v/>
      </c>
      <c r="T16">
        <f>(S16-R16)*100</f>
        <v/>
      </c>
      <c r="U16">
        <f>IF(R16&gt;=S16,"FAIL","PASS")</f>
        <v/>
      </c>
    </row>
    <row r="17">
      <c r="A17" t="inlineStr">
        <is>
          <t>CHN_AGING_PENALTY = 0.3</t>
        </is>
      </c>
      <c r="B17">
        <f>STIM_PER_10PTS</f>
        <v/>
      </c>
      <c r="C17">
        <f>BASE_RECOVERY_RATE</f>
        <v/>
      </c>
      <c r="D17" s="4" t="n">
        <v>0.3</v>
      </c>
      <c r="E17">
        <f>US_AGING_PENALTY</f>
        <v/>
      </c>
      <c r="F17">
        <f>CHN_LABOR_FACTOR</f>
        <v/>
      </c>
      <c r="G17">
        <f>US_LABOR_FACTOR</f>
        <v/>
      </c>
      <c r="H17">
        <f>CHN_SHOCK_Y1</f>
        <v/>
      </c>
      <c r="I17">
        <f>MIN(0,H17*(1-$C17)+($B17*ABS(CHN_SHOCK_Y1)/10*FISCAL_EFFECT*(1-$D17)*$F17)/4)</f>
        <v/>
      </c>
      <c r="J17">
        <f>MIN(0,I17*(1-$C17)+($B17*ABS(CHN_SHOCK_Y1)/10*FISCAL_EFFECT*(1-$D17)*$F17)/4)</f>
        <v/>
      </c>
      <c r="K17">
        <f>MIN(0,J17*(1-$C17)+($B17*ABS(CHN_SHOCK_Y1)/10*FISCAL_EFFECT*(1-$D17)*$F17)/4)</f>
        <v/>
      </c>
      <c r="L17">
        <f>MIN(0,K17*(1-$C17)+($B17*ABS(CHN_SHOCK_Y1)/10*FISCAL_EFFECT*(1-$D17)*$F17)/4)</f>
        <v/>
      </c>
      <c r="M17">
        <f>US_SHOCK_Y1</f>
        <v/>
      </c>
      <c r="N17">
        <f>MIN(0,M17*(1-$C17)+($B17*ABS(US_SHOCK_Y1)/10*FISCAL_EFFECT*(1-$E17)*$G17)/4)</f>
        <v/>
      </c>
      <c r="O17">
        <f>MIN(0,N17*(1-$C17)+($B17*ABS(US_SHOCK_Y1)/10*FISCAL_EFFECT*(1-$E17)*$G17)/4)</f>
        <v/>
      </c>
      <c r="P17">
        <f>MIN(0,O17*(1-$C17)+($B17*ABS(US_SHOCK_Y1)/10*FISCAL_EFFECT*(1-$E17)*$G17)/4)</f>
        <v/>
      </c>
      <c r="Q17">
        <f>MIN(0,P17*(1-$C17)+($B17*ABS(US_SHOCK_Y1)/10*FISCAL_EFFECT*(1-$E17)*$G17)/4)</f>
        <v/>
      </c>
      <c r="R17" s="5">
        <f>1-L17/H17</f>
        <v/>
      </c>
      <c r="S17" s="5">
        <f>1-Q17/M17</f>
        <v/>
      </c>
      <c r="T17">
        <f>(S17-R17)*100</f>
        <v/>
      </c>
      <c r="U17">
        <f>IF(R17&gt;=S17,"FAIL","PASS")</f>
        <v/>
      </c>
    </row>
    <row r="18">
      <c r="A18" t="inlineStr">
        <is>
          <t>CHN_AGING_PENALTY = 0.45</t>
        </is>
      </c>
      <c r="B18">
        <f>STIM_PER_10PTS</f>
        <v/>
      </c>
      <c r="C18">
        <f>BASE_RECOVERY_RATE</f>
        <v/>
      </c>
      <c r="D18" s="4" t="n">
        <v>0.45</v>
      </c>
      <c r="E18">
        <f>US_AGING_PENALTY</f>
        <v/>
      </c>
      <c r="F18">
        <f>CHN_LABOR_FACTOR</f>
        <v/>
      </c>
      <c r="G18">
        <f>US_LABOR_FACTOR</f>
        <v/>
      </c>
      <c r="H18">
        <f>CHN_SHOCK_Y1</f>
        <v/>
      </c>
      <c r="I18">
        <f>MIN(0,H18*(1-$C18)+($B18*ABS(CHN_SHOCK_Y1)/10*FISCAL_EFFECT*(1-$D18)*$F18)/4)</f>
        <v/>
      </c>
      <c r="J18">
        <f>MIN(0,I18*(1-$C18)+($B18*ABS(CHN_SHOCK_Y1)/10*FISCAL_EFFECT*(1-$D18)*$F18)/4)</f>
        <v/>
      </c>
      <c r="K18">
        <f>MIN(0,J18*(1-$C18)+($B18*ABS(CHN_SHOCK_Y1)/10*FISCAL_EFFECT*(1-$D18)*$F18)/4)</f>
        <v/>
      </c>
      <c r="L18">
        <f>MIN(0,K18*(1-$C18)+($B18*ABS(CHN_SHOCK_Y1)/10*FISCAL_EFFECT*(1-$D18)*$F18)/4)</f>
        <v/>
      </c>
      <c r="M18">
        <f>US_SHOCK_Y1</f>
        <v/>
      </c>
      <c r="N18">
        <f>MIN(0,M18*(1-$C18)+($B18*ABS(US_SHOCK_Y1)/10*FISCAL_EFFECT*(1-$E18)*$G18)/4)</f>
        <v/>
      </c>
      <c r="O18">
        <f>MIN(0,N18*(1-$C18)+($B18*ABS(US_SHOCK_Y1)/10*FISCAL_EFFECT*(1-$E18)*$G18)/4)</f>
        <v/>
      </c>
      <c r="P18">
        <f>MIN(0,O18*(1-$C18)+($B18*ABS(US_SHOCK_Y1)/10*FISCAL_EFFECT*(1-$E18)*$G18)/4)</f>
        <v/>
      </c>
      <c r="Q18">
        <f>MIN(0,P18*(1-$C18)+($B18*ABS(US_SHOCK_Y1)/10*FISCAL_EFFECT*(1-$E18)*$G18)/4)</f>
        <v/>
      </c>
      <c r="R18" s="5">
        <f>1-L18/H18</f>
        <v/>
      </c>
      <c r="S18" s="5">
        <f>1-Q18/M18</f>
        <v/>
      </c>
      <c r="T18">
        <f>(S18-R18)*100</f>
        <v/>
      </c>
      <c r="U18">
        <f>IF(R18&gt;=S18,"FAIL","PASS")</f>
        <v/>
      </c>
    </row>
    <row r="19">
      <c r="A19" t="inlineStr">
        <is>
          <t>CHN_AGING_PENALTY = 0.6</t>
        </is>
      </c>
      <c r="B19">
        <f>STIM_PER_10PTS</f>
        <v/>
      </c>
      <c r="C19">
        <f>BASE_RECOVERY_RATE</f>
        <v/>
      </c>
      <c r="D19" s="4" t="n">
        <v>0.6</v>
      </c>
      <c r="E19">
        <f>US_AGING_PENALTY</f>
        <v/>
      </c>
      <c r="F19">
        <f>CHN_LABOR_FACTOR</f>
        <v/>
      </c>
      <c r="G19">
        <f>US_LABOR_FACTOR</f>
        <v/>
      </c>
      <c r="H19">
        <f>CHN_SHOCK_Y1</f>
        <v/>
      </c>
      <c r="I19">
        <f>MIN(0,H19*(1-$C19)+($B19*ABS(CHN_SHOCK_Y1)/10*FISCAL_EFFECT*(1-$D19)*$F19)/4)</f>
        <v/>
      </c>
      <c r="J19">
        <f>MIN(0,I19*(1-$C19)+($B19*ABS(CHN_SHOCK_Y1)/10*FISCAL_EFFECT*(1-$D19)*$F19)/4)</f>
        <v/>
      </c>
      <c r="K19">
        <f>MIN(0,J19*(1-$C19)+($B19*ABS(CHN_SHOCK_Y1)/10*FISCAL_EFFECT*(1-$D19)*$F19)/4)</f>
        <v/>
      </c>
      <c r="L19">
        <f>MIN(0,K19*(1-$C19)+($B19*ABS(CHN_SHOCK_Y1)/10*FISCAL_EFFECT*(1-$D19)*$F19)/4)</f>
        <v/>
      </c>
      <c r="M19">
        <f>US_SHOCK_Y1</f>
        <v/>
      </c>
      <c r="N19">
        <f>MIN(0,M19*(1-$C19)+($B19*ABS(US_SHOCK_Y1)/10*FISCAL_EFFECT*(1-$E19)*$G19)/4)</f>
        <v/>
      </c>
      <c r="O19">
        <f>MIN(0,N19*(1-$C19)+($B19*ABS(US_SHOCK_Y1)/10*FISCAL_EFFECT*(1-$E19)*$G19)/4)</f>
        <v/>
      </c>
      <c r="P19">
        <f>MIN(0,O19*(1-$C19)+($B19*ABS(US_SHOCK_Y1)/10*FISCAL_EFFECT*(1-$E19)*$G19)/4)</f>
        <v/>
      </c>
      <c r="Q19">
        <f>MIN(0,P19*(1-$C19)+($B19*ABS(US_SHOCK_Y1)/10*FISCAL_EFFECT*(1-$E19)*$G19)/4)</f>
        <v/>
      </c>
      <c r="R19" s="5">
        <f>1-L19/H19</f>
        <v/>
      </c>
      <c r="S19" s="5">
        <f>1-Q19/M19</f>
        <v/>
      </c>
      <c r="T19">
        <f>(S19-R19)*100</f>
        <v/>
      </c>
      <c r="U19">
        <f>IF(R19&gt;=S19,"FAIL","PASS")</f>
        <v/>
      </c>
    </row>
    <row r="20">
      <c r="A20" t="inlineStr">
        <is>
          <t>US_AGING_PENALTY = 0</t>
        </is>
      </c>
      <c r="B20">
        <f>STIM_PER_10PTS</f>
        <v/>
      </c>
      <c r="C20">
        <f>BASE_RECOVERY_RATE</f>
        <v/>
      </c>
      <c r="D20">
        <f>CHN_AGING_PENALTY</f>
        <v/>
      </c>
      <c r="E20" s="4" t="n">
        <v>0</v>
      </c>
      <c r="F20">
        <f>CHN_LABOR_FACTOR</f>
        <v/>
      </c>
      <c r="G20">
        <f>US_LABOR_FACTOR</f>
        <v/>
      </c>
      <c r="H20">
        <f>CHN_SHOCK_Y1</f>
        <v/>
      </c>
      <c r="I20">
        <f>MIN(0,H20*(1-$C20)+($B20*ABS(CHN_SHOCK_Y1)/10*FISCAL_EFFECT*(1-$D20)*$F20)/4)</f>
        <v/>
      </c>
      <c r="J20">
        <f>MIN(0,I20*(1-$C20)+($B20*ABS(CHN_SHOCK_Y1)/10*FISCAL_EFFECT*(1-$D20)*$F20)/4)</f>
        <v/>
      </c>
      <c r="K20">
        <f>MIN(0,J20*(1-$C20)+($B20*ABS(CHN_SHOCK_Y1)/10*FISCAL_EFFECT*(1-$D20)*$F20)/4)</f>
        <v/>
      </c>
      <c r="L20">
        <f>MIN(0,K20*(1-$C20)+($B20*ABS(CHN_SHOCK_Y1)/10*FISCAL_EFFECT*(1-$D20)*$F20)/4)</f>
        <v/>
      </c>
      <c r="M20">
        <f>US_SHOCK_Y1</f>
        <v/>
      </c>
      <c r="N20">
        <f>MIN(0,M20*(1-$C20)+($B20*ABS(US_SHOCK_Y1)/10*FISCAL_EFFECT*(1-$E20)*$G20)/4)</f>
        <v/>
      </c>
      <c r="O20">
        <f>MIN(0,N20*(1-$C20)+($B20*ABS(US_SHOCK_Y1)/10*FISCAL_EFFECT*(1-$E20)*$G20)/4)</f>
        <v/>
      </c>
      <c r="P20">
        <f>MIN(0,O20*(1-$C20)+($B20*ABS(US_SHOCK_Y1)/10*FISCAL_EFFECT*(1-$E20)*$G20)/4)</f>
        <v/>
      </c>
      <c r="Q20">
        <f>MIN(0,P20*(1-$C20)+($B20*ABS(US_SHOCK_Y1)/10*FISCAL_EFFECT*(1-$E20)*$G20)/4)</f>
        <v/>
      </c>
      <c r="R20" s="5">
        <f>1-L20/H20</f>
        <v/>
      </c>
      <c r="S20" s="5">
        <f>1-Q20/M20</f>
        <v/>
      </c>
      <c r="T20">
        <f>(S20-R20)*100</f>
        <v/>
      </c>
      <c r="U20">
        <f>IF(R20&gt;=S20,"FAIL","PASS")</f>
        <v/>
      </c>
    </row>
    <row r="21">
      <c r="A21" t="inlineStr">
        <is>
          <t>US_AGING_PENALTY = 0.19</t>
        </is>
      </c>
      <c r="B21">
        <f>STIM_PER_10PTS</f>
        <v/>
      </c>
      <c r="C21">
        <f>BASE_RECOVERY_RATE</f>
        <v/>
      </c>
      <c r="D21">
        <f>CHN_AGING_PENALTY</f>
        <v/>
      </c>
      <c r="E21" s="4" t="n">
        <v>0.19</v>
      </c>
      <c r="F21">
        <f>CHN_LABOR_FACTOR</f>
        <v/>
      </c>
      <c r="G21">
        <f>US_LABOR_FACTOR</f>
        <v/>
      </c>
      <c r="H21">
        <f>CHN_SHOCK_Y1</f>
        <v/>
      </c>
      <c r="I21">
        <f>MIN(0,H21*(1-$C21)+($B21*ABS(CHN_SHOCK_Y1)/10*FISCAL_EFFECT*(1-$D21)*$F21)/4)</f>
        <v/>
      </c>
      <c r="J21">
        <f>MIN(0,I21*(1-$C21)+($B21*ABS(CHN_SHOCK_Y1)/10*FISCAL_EFFECT*(1-$D21)*$F21)/4)</f>
        <v/>
      </c>
      <c r="K21">
        <f>MIN(0,J21*(1-$C21)+($B21*ABS(CHN_SHOCK_Y1)/10*FISCAL_EFFECT*(1-$D21)*$F21)/4)</f>
        <v/>
      </c>
      <c r="L21">
        <f>MIN(0,K21*(1-$C21)+($B21*ABS(CHN_SHOCK_Y1)/10*FISCAL_EFFECT*(1-$D21)*$F21)/4)</f>
        <v/>
      </c>
      <c r="M21">
        <f>US_SHOCK_Y1</f>
        <v/>
      </c>
      <c r="N21">
        <f>MIN(0,M21*(1-$C21)+($B21*ABS(US_SHOCK_Y1)/10*FISCAL_EFFECT*(1-$E21)*$G21)/4)</f>
        <v/>
      </c>
      <c r="O21">
        <f>MIN(0,N21*(1-$C21)+($B21*ABS(US_SHOCK_Y1)/10*FISCAL_EFFECT*(1-$E21)*$G21)/4)</f>
        <v/>
      </c>
      <c r="P21">
        <f>MIN(0,O21*(1-$C21)+($B21*ABS(US_SHOCK_Y1)/10*FISCAL_EFFECT*(1-$E21)*$G21)/4)</f>
        <v/>
      </c>
      <c r="Q21">
        <f>MIN(0,P21*(1-$C21)+($B21*ABS(US_SHOCK_Y1)/10*FISCAL_EFFECT*(1-$E21)*$G21)/4)</f>
        <v/>
      </c>
      <c r="R21" s="5">
        <f>1-L21/H21</f>
        <v/>
      </c>
      <c r="S21" s="5">
        <f>1-Q21/M21</f>
        <v/>
      </c>
      <c r="T21">
        <f>(S21-R21)*100</f>
        <v/>
      </c>
      <c r="U21">
        <f>IF(R21&gt;=S21,"FAIL","PASS")</f>
        <v/>
      </c>
    </row>
    <row r="22">
      <c r="A22" t="inlineStr">
        <is>
          <t>US_AGING_PENALTY = 0.38</t>
        </is>
      </c>
      <c r="B22">
        <f>STIM_PER_10PTS</f>
        <v/>
      </c>
      <c r="C22">
        <f>BASE_RECOVERY_RATE</f>
        <v/>
      </c>
      <c r="D22">
        <f>CHN_AGING_PENALTY</f>
        <v/>
      </c>
      <c r="E22" s="4" t="n">
        <v>0.38</v>
      </c>
      <c r="F22">
        <f>CHN_LABOR_FACTOR</f>
        <v/>
      </c>
      <c r="G22">
        <f>US_LABOR_FACTOR</f>
        <v/>
      </c>
      <c r="H22">
        <f>CHN_SHOCK_Y1</f>
        <v/>
      </c>
      <c r="I22">
        <f>MIN(0,H22*(1-$C22)+($B22*ABS(CHN_SHOCK_Y1)/10*FISCAL_EFFECT*(1-$D22)*$F22)/4)</f>
        <v/>
      </c>
      <c r="J22">
        <f>MIN(0,I22*(1-$C22)+($B22*ABS(CHN_SHOCK_Y1)/10*FISCAL_EFFECT*(1-$D22)*$F22)/4)</f>
        <v/>
      </c>
      <c r="K22">
        <f>MIN(0,J22*(1-$C22)+($B22*ABS(CHN_SHOCK_Y1)/10*FISCAL_EFFECT*(1-$D22)*$F22)/4)</f>
        <v/>
      </c>
      <c r="L22">
        <f>MIN(0,K22*(1-$C22)+($B22*ABS(CHN_SHOCK_Y1)/10*FISCAL_EFFECT*(1-$D22)*$F22)/4)</f>
        <v/>
      </c>
      <c r="M22">
        <f>US_SHOCK_Y1</f>
        <v/>
      </c>
      <c r="N22">
        <f>MIN(0,M22*(1-$C22)+($B22*ABS(US_SHOCK_Y1)/10*FISCAL_EFFECT*(1-$E22)*$G22)/4)</f>
        <v/>
      </c>
      <c r="O22">
        <f>MIN(0,N22*(1-$C22)+($B22*ABS(US_SHOCK_Y1)/10*FISCAL_EFFECT*(1-$E22)*$G22)/4)</f>
        <v/>
      </c>
      <c r="P22">
        <f>MIN(0,O22*(1-$C22)+($B22*ABS(US_SHOCK_Y1)/10*FISCAL_EFFECT*(1-$E22)*$G22)/4)</f>
        <v/>
      </c>
      <c r="Q22">
        <f>MIN(0,P22*(1-$C22)+($B22*ABS(US_SHOCK_Y1)/10*FISCAL_EFFECT*(1-$E22)*$G22)/4)</f>
        <v/>
      </c>
      <c r="R22" s="5">
        <f>1-L22/H22</f>
        <v/>
      </c>
      <c r="S22" s="5">
        <f>1-Q22/M22</f>
        <v/>
      </c>
      <c r="T22">
        <f>(S22-R22)*100</f>
        <v/>
      </c>
      <c r="U22">
        <f>IF(R22&gt;=S22,"FAIL","PASS")</f>
        <v/>
      </c>
    </row>
    <row r="23">
      <c r="A23" t="inlineStr">
        <is>
          <t>US_AGING_PENALTY = 0.5</t>
        </is>
      </c>
      <c r="B23">
        <f>STIM_PER_10PTS</f>
        <v/>
      </c>
      <c r="C23">
        <f>BASE_RECOVERY_RATE</f>
        <v/>
      </c>
      <c r="D23">
        <f>CHN_AGING_PENALTY</f>
        <v/>
      </c>
      <c r="E23" s="4" t="n">
        <v>0.5</v>
      </c>
      <c r="F23">
        <f>CHN_LABOR_FACTOR</f>
        <v/>
      </c>
      <c r="G23">
        <f>US_LABOR_FACTOR</f>
        <v/>
      </c>
      <c r="H23">
        <f>CHN_SHOCK_Y1</f>
        <v/>
      </c>
      <c r="I23">
        <f>MIN(0,H23*(1-$C23)+($B23*ABS(CHN_SHOCK_Y1)/10*FISCAL_EFFECT*(1-$D23)*$F23)/4)</f>
        <v/>
      </c>
      <c r="J23">
        <f>MIN(0,I23*(1-$C23)+($B23*ABS(CHN_SHOCK_Y1)/10*FISCAL_EFFECT*(1-$D23)*$F23)/4)</f>
        <v/>
      </c>
      <c r="K23">
        <f>MIN(0,J23*(1-$C23)+($B23*ABS(CHN_SHOCK_Y1)/10*FISCAL_EFFECT*(1-$D23)*$F23)/4)</f>
        <v/>
      </c>
      <c r="L23">
        <f>MIN(0,K23*(1-$C23)+($B23*ABS(CHN_SHOCK_Y1)/10*FISCAL_EFFECT*(1-$D23)*$F23)/4)</f>
        <v/>
      </c>
      <c r="M23">
        <f>US_SHOCK_Y1</f>
        <v/>
      </c>
      <c r="N23">
        <f>MIN(0,M23*(1-$C23)+($B23*ABS(US_SHOCK_Y1)/10*FISCAL_EFFECT*(1-$E23)*$G23)/4)</f>
        <v/>
      </c>
      <c r="O23">
        <f>MIN(0,N23*(1-$C23)+($B23*ABS(US_SHOCK_Y1)/10*FISCAL_EFFECT*(1-$E23)*$G23)/4)</f>
        <v/>
      </c>
      <c r="P23">
        <f>MIN(0,O23*(1-$C23)+($B23*ABS(US_SHOCK_Y1)/10*FISCAL_EFFECT*(1-$E23)*$G23)/4)</f>
        <v/>
      </c>
      <c r="Q23">
        <f>MIN(0,P23*(1-$C23)+($B23*ABS(US_SHOCK_Y1)/10*FISCAL_EFFECT*(1-$E23)*$G23)/4)</f>
        <v/>
      </c>
      <c r="R23" s="5">
        <f>1-L23/H23</f>
        <v/>
      </c>
      <c r="S23" s="5">
        <f>1-Q23/M23</f>
        <v/>
      </c>
      <c r="T23">
        <f>(S23-R23)*100</f>
        <v/>
      </c>
      <c r="U23">
        <f>IF(R23&gt;=S23,"FAIL","PASS")</f>
        <v/>
      </c>
    </row>
    <row r="24">
      <c r="A24" t="inlineStr">
        <is>
          <t>Labor factors 2015–2025 (pre-lock version)</t>
        </is>
      </c>
      <c r="B24">
        <f>STIM_PER_10PTS</f>
        <v/>
      </c>
      <c r="C24">
        <f>BASE_RECOVERY_RATE</f>
        <v/>
      </c>
      <c r="D24">
        <f>CHN_AGING_PENALTY</f>
        <v/>
      </c>
      <c r="E24">
        <f>US_AGING_PENALTY</f>
        <v/>
      </c>
      <c r="F24" s="4">
        <f>CHN_LABOR_FACTOR_1525</f>
        <v/>
      </c>
      <c r="G24" s="4">
        <f>US_LABOR_FACTOR_1525</f>
        <v/>
      </c>
      <c r="H24">
        <f>CHN_SHOCK_Y1</f>
        <v/>
      </c>
      <c r="I24">
        <f>MIN(0,H24*(1-$C24)+($B24*ABS(CHN_SHOCK_Y1)/10*FISCAL_EFFECT*(1-$D24)*$F24)/4)</f>
        <v/>
      </c>
      <c r="J24">
        <f>MIN(0,I24*(1-$C24)+($B24*ABS(CHN_SHOCK_Y1)/10*FISCAL_EFFECT*(1-$D24)*$F24)/4)</f>
        <v/>
      </c>
      <c r="K24">
        <f>MIN(0,J24*(1-$C24)+($B24*ABS(CHN_SHOCK_Y1)/10*FISCAL_EFFECT*(1-$D24)*$F24)/4)</f>
        <v/>
      </c>
      <c r="L24">
        <f>MIN(0,K24*(1-$C24)+($B24*ABS(CHN_SHOCK_Y1)/10*FISCAL_EFFECT*(1-$D24)*$F24)/4)</f>
        <v/>
      </c>
      <c r="M24">
        <f>US_SHOCK_Y1</f>
        <v/>
      </c>
      <c r="N24">
        <f>MIN(0,M24*(1-$C24)+($B24*ABS(US_SHOCK_Y1)/10*FISCAL_EFFECT*(1-$E24)*$G24)/4)</f>
        <v/>
      </c>
      <c r="O24">
        <f>MIN(0,N24*(1-$C24)+($B24*ABS(US_SHOCK_Y1)/10*FISCAL_EFFECT*(1-$E24)*$G24)/4)</f>
        <v/>
      </c>
      <c r="P24">
        <f>MIN(0,O24*(1-$C24)+($B24*ABS(US_SHOCK_Y1)/10*FISCAL_EFFECT*(1-$E24)*$G24)/4)</f>
        <v/>
      </c>
      <c r="Q24">
        <f>MIN(0,P24*(1-$C24)+($B24*ABS(US_SHOCK_Y1)/10*FISCAL_EFFECT*(1-$E24)*$G24)/4)</f>
        <v/>
      </c>
      <c r="R24" s="5">
        <f>1-L24/H24</f>
        <v/>
      </c>
      <c r="S24" s="5">
        <f>1-Q24/M24</f>
        <v/>
      </c>
      <c r="T24">
        <f>(S24-R24)*100</f>
        <v/>
      </c>
      <c r="U24">
        <f>IF(R24&gt;=S24,"FAIL","PASS")</f>
        <v/>
      </c>
    </row>
    <row r="25">
      <c r="A25" t="inlineStr">
        <is>
          <t>No aging penalties, labor factors = 1 (rig test)</t>
        </is>
      </c>
      <c r="B25">
        <f>STIM_PER_10PTS</f>
        <v/>
      </c>
      <c r="C25">
        <f>BASE_RECOVERY_RATE</f>
        <v/>
      </c>
      <c r="D25" s="4" t="n">
        <v>0</v>
      </c>
      <c r="E25" s="4" t="n">
        <v>0</v>
      </c>
      <c r="F25" s="4" t="n">
        <v>1</v>
      </c>
      <c r="G25" s="4" t="n">
        <v>1</v>
      </c>
      <c r="H25">
        <f>CHN_SHOCK_Y1</f>
        <v/>
      </c>
      <c r="I25">
        <f>MIN(0,H25*(1-$C25)+($B25*ABS(CHN_SHOCK_Y1)/10*FISCAL_EFFECT*(1-$D25)*$F25)/4)</f>
        <v/>
      </c>
      <c r="J25">
        <f>MIN(0,I25*(1-$C25)+($B25*ABS(CHN_SHOCK_Y1)/10*FISCAL_EFFECT*(1-$D25)*$F25)/4)</f>
        <v/>
      </c>
      <c r="K25">
        <f>MIN(0,J25*(1-$C25)+($B25*ABS(CHN_SHOCK_Y1)/10*FISCAL_EFFECT*(1-$D25)*$F25)/4)</f>
        <v/>
      </c>
      <c r="L25">
        <f>MIN(0,K25*(1-$C25)+($B25*ABS(CHN_SHOCK_Y1)/10*FISCAL_EFFECT*(1-$D25)*$F25)/4)</f>
        <v/>
      </c>
      <c r="M25">
        <f>US_SHOCK_Y1</f>
        <v/>
      </c>
      <c r="N25">
        <f>MIN(0,M25*(1-$C25)+($B25*ABS(US_SHOCK_Y1)/10*FISCAL_EFFECT*(1-$E25)*$G25)/4)</f>
        <v/>
      </c>
      <c r="O25">
        <f>MIN(0,N25*(1-$C25)+($B25*ABS(US_SHOCK_Y1)/10*FISCAL_EFFECT*(1-$E25)*$G25)/4)</f>
        <v/>
      </c>
      <c r="P25">
        <f>MIN(0,O25*(1-$C25)+($B25*ABS(US_SHOCK_Y1)/10*FISCAL_EFFECT*(1-$E25)*$G25)/4)</f>
        <v/>
      </c>
      <c r="Q25">
        <f>MIN(0,P25*(1-$C25)+($B25*ABS(US_SHOCK_Y1)/10*FISCAL_EFFECT*(1-$E25)*$G25)/4)</f>
        <v/>
      </c>
      <c r="R25" s="5">
        <f>1-L25/H25</f>
        <v/>
      </c>
      <c r="S25" s="5">
        <f>1-Q25/M25</f>
        <v/>
      </c>
      <c r="T25">
        <f>(S25-R25)*100</f>
        <v/>
      </c>
      <c r="U25">
        <f>IF(R25&gt;=S25,"FAIL","PASS")</f>
        <v/>
      </c>
    </row>
    <row r="26">
      <c r="A26" t="inlineStr">
        <is>
          <t>No stimulus, no base recovery (zero test)</t>
        </is>
      </c>
      <c r="B26" s="4" t="n">
        <v>0</v>
      </c>
      <c r="C26" s="4" t="n">
        <v>0</v>
      </c>
      <c r="D26">
        <f>CHN_AGING_PENALTY</f>
        <v/>
      </c>
      <c r="E26">
        <f>US_AGING_PENALTY</f>
        <v/>
      </c>
      <c r="F26">
        <f>CHN_LABOR_FACTOR</f>
        <v/>
      </c>
      <c r="G26">
        <f>US_LABOR_FACTOR</f>
        <v/>
      </c>
      <c r="H26">
        <f>CHN_SHOCK_Y1</f>
        <v/>
      </c>
      <c r="I26">
        <f>MIN(0,H26*(1-$C26)+($B26*ABS(CHN_SHOCK_Y1)/10*FISCAL_EFFECT*(1-$D26)*$F26)/4)</f>
        <v/>
      </c>
      <c r="J26">
        <f>MIN(0,I26*(1-$C26)+($B26*ABS(CHN_SHOCK_Y1)/10*FISCAL_EFFECT*(1-$D26)*$F26)/4)</f>
        <v/>
      </c>
      <c r="K26">
        <f>MIN(0,J26*(1-$C26)+($B26*ABS(CHN_SHOCK_Y1)/10*FISCAL_EFFECT*(1-$D26)*$F26)/4)</f>
        <v/>
      </c>
      <c r="L26">
        <f>MIN(0,K26*(1-$C26)+($B26*ABS(CHN_SHOCK_Y1)/10*FISCAL_EFFECT*(1-$D26)*$F26)/4)</f>
        <v/>
      </c>
      <c r="M26">
        <f>US_SHOCK_Y1</f>
        <v/>
      </c>
      <c r="N26">
        <f>MIN(0,M26*(1-$C26)+($B26*ABS(US_SHOCK_Y1)/10*FISCAL_EFFECT*(1-$E26)*$G26)/4)</f>
        <v/>
      </c>
      <c r="O26">
        <f>MIN(0,N26*(1-$C26)+($B26*ABS(US_SHOCK_Y1)/10*FISCAL_EFFECT*(1-$E26)*$G26)/4)</f>
        <v/>
      </c>
      <c r="P26">
        <f>MIN(0,O26*(1-$C26)+($B26*ABS(US_SHOCK_Y1)/10*FISCAL_EFFECT*(1-$E26)*$G26)/4)</f>
        <v/>
      </c>
      <c r="Q26">
        <f>MIN(0,P26*(1-$C26)+($B26*ABS(US_SHOCK_Y1)/10*FISCAL_EFFECT*(1-$E26)*$G26)/4)</f>
        <v/>
      </c>
      <c r="R26" s="5">
        <f>1-L26/H26</f>
        <v/>
      </c>
      <c r="S26" s="5">
        <f>1-Q26/M26</f>
        <v/>
      </c>
      <c r="T26">
        <f>(S26-R26)*100</f>
        <v/>
      </c>
      <c r="U26">
        <f>IF(R26&gt;=S26,"FAIL","PASS")</f>
        <v/>
      </c>
    </row>
    <row r="27">
      <c r="A27" t="inlineStr">
        <is>
          <t>Break-even China penalty (tie test)</t>
        </is>
      </c>
      <c r="B27">
        <f>STIM_PER_10PTS</f>
        <v/>
      </c>
      <c r="C27">
        <f>BASE_RECOVERY_RATE</f>
        <v/>
      </c>
      <c r="D27" s="4">
        <f>CHN_BREAKEVEN_PENALTY</f>
        <v/>
      </c>
      <c r="E27">
        <f>US_AGING_PENALTY</f>
        <v/>
      </c>
      <c r="F27">
        <f>CHN_LABOR_FACTOR</f>
        <v/>
      </c>
      <c r="G27">
        <f>US_LABOR_FACTOR</f>
        <v/>
      </c>
      <c r="H27">
        <f>CHN_SHOCK_Y1</f>
        <v/>
      </c>
      <c r="I27">
        <f>MIN(0,H27*(1-$C27)+($B27*ABS(CHN_SHOCK_Y1)/10*FISCAL_EFFECT*(1-$D27)*$F27)/4)</f>
        <v/>
      </c>
      <c r="J27">
        <f>MIN(0,I27*(1-$C27)+($B27*ABS(CHN_SHOCK_Y1)/10*FISCAL_EFFECT*(1-$D27)*$F27)/4)</f>
        <v/>
      </c>
      <c r="K27">
        <f>MIN(0,J27*(1-$C27)+($B27*ABS(CHN_SHOCK_Y1)/10*FISCAL_EFFECT*(1-$D27)*$F27)/4)</f>
        <v/>
      </c>
      <c r="L27">
        <f>MIN(0,K27*(1-$C27)+($B27*ABS(CHN_SHOCK_Y1)/10*FISCAL_EFFECT*(1-$D27)*$F27)/4)</f>
        <v/>
      </c>
      <c r="M27">
        <f>US_SHOCK_Y1</f>
        <v/>
      </c>
      <c r="N27">
        <f>MIN(0,M27*(1-$C27)+($B27*ABS(US_SHOCK_Y1)/10*FISCAL_EFFECT*(1-$E27)*$G27)/4)</f>
        <v/>
      </c>
      <c r="O27">
        <f>MIN(0,N27*(1-$C27)+($B27*ABS(US_SHOCK_Y1)/10*FISCAL_EFFECT*(1-$E27)*$G27)/4)</f>
        <v/>
      </c>
      <c r="P27">
        <f>MIN(0,O27*(1-$C27)+($B27*ABS(US_SHOCK_Y1)/10*FISCAL_EFFECT*(1-$E27)*$G27)/4)</f>
        <v/>
      </c>
      <c r="Q27">
        <f>MIN(0,P27*(1-$C27)+($B27*ABS(US_SHOCK_Y1)/10*FISCAL_EFFECT*(1-$E27)*$G27)/4)</f>
        <v/>
      </c>
      <c r="R27" s="5">
        <f>1-L27/H27</f>
        <v/>
      </c>
      <c r="S27" s="5">
        <f>1-Q27/M27</f>
        <v/>
      </c>
      <c r="T27">
        <f>(S27-R27)*100</f>
        <v/>
      </c>
      <c r="U27">
        <f>IF(R27&gt;=S27,"FAIL","PASS")</f>
        <v/>
      </c>
    </row>
    <row r="28"/>
    <row r="29">
      <c r="A29" s="6" t="inlineStr">
        <is>
          <t>Break-even</t>
        </is>
      </c>
    </row>
    <row r="30">
      <c r="A30" t="inlineStr">
        <is>
          <t>CHN_BREAKEVEN_PENALTY</t>
        </is>
      </c>
      <c r="B30" s="5">
        <f>1-(1-US_AGING_PENALTY)*US_LABOR_FACTOR/CHN_LABOR_FACTOR</f>
        <v/>
      </c>
      <c r="C30" t="inlineStr">
        <is>
          <t>China aging penalty at which both countries recover the same share. Above it the hypothesis survives; below it the falsifier triggers. Closed form holds while BASE_RECOVERY_RATE = 0 and no gap hits zero (the hit size cancels out); the tie-test row above confirms it.</t>
        </is>
      </c>
    </row>
    <row r="31">
      <c r="A31" t="inlineStr">
        <is>
          <t>Locked China penalty minus break-even (pts)</t>
        </is>
      </c>
      <c r="B31">
        <f>(CHN_AGING_PENALTY-CHN_BREAKEVEN_PENALTY)*100</f>
        <v/>
      </c>
    </row>
    <row r="32">
      <c r="A32" t="inlineStr">
        <is>
          <t>US_BREAKEVEN_PENALTY</t>
        </is>
      </c>
      <c r="B32" s="5">
        <f>1-(1-CHN_AGING_PENALTY)*CHN_LABOR_FACTOR/US_LABOR_FACTOR</f>
        <v/>
      </c>
      <c r="C32" t="inlineStr">
        <is>
          <t>U.S. aging penalty at which the two tie, holding China at its locked penalty. Below it the hypothesis survives.</t>
        </is>
      </c>
    </row>
    <row r="33">
      <c r="A33" t="inlineStr">
        <is>
          <t>CHN_BREAKEVEN_WAP_2031</t>
        </is>
      </c>
      <c r="B33">
        <f>CHN_WAP_2027*(1-US_AGING_PENALTY)*US_LABOR_FACTOR/(1-CHN_AGING_PENALTY)</f>
        <v/>
      </c>
      <c r="C33" t="inlineStr">
        <is>
          <t>China 2031 working-age population (million) that would produce a tie, holding everything else at locked values.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Checks — hand-checks, acceptance criteria, structural checks</t>
        </is>
      </c>
    </row>
    <row r="2">
      <c r="A2" s="2" t="inlineStr">
        <is>
          <t>Expected values are hand calculations typed in as targets. They are not referenced by any calculation on the other sheets.</t>
        </is>
      </c>
    </row>
    <row r="4">
      <c r="A4" s="3" t="inlineStr">
        <is>
          <t>Check</t>
        </is>
      </c>
      <c r="B4" s="3" t="inlineStr">
        <is>
          <t>Model value</t>
        </is>
      </c>
      <c r="C4" s="3" t="inlineStr">
        <is>
          <t>Expected</t>
        </is>
      </c>
      <c r="D4" s="3" t="inlineStr">
        <is>
          <t>Tolerance</t>
        </is>
      </c>
      <c r="E4" s="3" t="inlineStr">
        <is>
          <t>Result</t>
        </is>
      </c>
    </row>
    <row r="5">
      <c r="A5" t="inlineStr">
        <is>
          <t>1. China baseline 2031 = 100 × 1.040 × 1.040 × 1.037 × 1.033 × 1.033</t>
        </is>
      </c>
      <c r="B5">
        <f>CHN_BASE_2031</f>
        <v/>
      </c>
      <c r="C5" t="n">
        <v>119.686751</v>
      </c>
      <c r="D5" t="n">
        <v>0.0001</v>
      </c>
      <c r="E5">
        <f>IF(ABS(B5-C5)&lt;=D5,"PASS","FAIL")</f>
        <v/>
      </c>
    </row>
    <row r="6">
      <c r="A6" t="inlineStr">
        <is>
          <t>1. U.S. baseline 2031 = 100 × 1.021 × 1.021 × 1.019 × 1.018 × 1.018</t>
        </is>
      </c>
      <c r="B6">
        <f>US_BASE_2031</f>
        <v/>
      </c>
      <c r="C6" t="n">
        <v>110.083245</v>
      </c>
      <c r="D6" t="n">
        <v>0.0001</v>
      </c>
      <c r="E6">
        <f>IF(ABS(B6-C6)&lt;=D6,"PASS","FAIL")</f>
        <v/>
      </c>
    </row>
    <row r="7">
      <c r="A7" t="inlineStr">
        <is>
          <t>Hand-check: China RECOVERED_5 = 0.5 × 1.5 × 0.70 × (958.656955 / 983.812239)</t>
        </is>
      </c>
      <c r="B7">
        <f>CHN_RECOVERED_5</f>
        <v/>
      </c>
      <c r="C7" t="n">
        <v>0.511576</v>
      </c>
      <c r="D7" t="n">
        <v>1e-06</v>
      </c>
      <c r="E7">
        <f>IF(ABS(B7-C7)&lt;=D7,"PASS","FAIL")</f>
        <v/>
      </c>
    </row>
    <row r="8">
      <c r="A8" t="inlineStr">
        <is>
          <t>Hand-check: U.S. RECOVERED_5 = 0.5 × 1.5 × 0.62 × (221.795554 / 220.751816)</t>
        </is>
      </c>
      <c r="B8">
        <f>US_RECOVERED_5</f>
        <v/>
      </c>
      <c r="C8" t="n">
        <v>0.467199</v>
      </c>
      <c r="D8" t="n">
        <v>1e-06</v>
      </c>
      <c r="E8">
        <f>IF(ABS(B8-C8)&lt;=D8,"PASS","FAIL")</f>
        <v/>
      </c>
    </row>
    <row r="9">
      <c r="A9" t="inlineStr">
        <is>
          <t>2. Rig test: no penalties, labor factors = 1 → U.S. − China gap in shares (pts)</t>
        </is>
      </c>
      <c r="B9">
        <f>Sensitivity!T25</f>
        <v/>
      </c>
      <c r="C9" t="n">
        <v>0</v>
      </c>
      <c r="D9" t="n">
        <v>1e-09</v>
      </c>
      <c r="E9">
        <f>IF(ABS(B9-C9)&lt;=D9,"PASS","FAIL")</f>
        <v/>
      </c>
    </row>
    <row r="10">
      <c r="A10" t="inlineStr">
        <is>
          <t>3. Zero test: China RECOVERED_5 with STIM_PER_10PTS = 0 and BASE_RECOVERY_RATE = 0</t>
        </is>
      </c>
      <c r="B10">
        <f>Sensitivity!R26</f>
        <v/>
      </c>
      <c r="C10" t="n">
        <v>0</v>
      </c>
      <c r="D10" t="n">
        <v>1e-09</v>
      </c>
      <c r="E10">
        <f>IF(ABS(B10-C10)&lt;=D10,"PASS","FAIL")</f>
        <v/>
      </c>
    </row>
    <row r="11">
      <c r="A11" t="inlineStr">
        <is>
          <t>3. Zero test: U.S. RECOVERED_5 with STIM_PER_10PTS = 0 and BASE_RECOVERY_RATE = 0</t>
        </is>
      </c>
      <c r="B11">
        <f>Sensitivity!S26</f>
        <v/>
      </c>
      <c r="C11" t="n">
        <v>0</v>
      </c>
      <c r="D11" t="n">
        <v>1e-09</v>
      </c>
      <c r="E11">
        <f>IF(ABS(B11-C11)&lt;=D11,"PASS","FAIL")</f>
        <v/>
      </c>
    </row>
    <row r="12">
      <c r="A12" t="inlineStr">
        <is>
          <t>6. Break-even reported: tie-test row U.S. − China (pts)</t>
        </is>
      </c>
      <c r="B12">
        <f>Sensitivity!T27</f>
        <v/>
      </c>
      <c r="C12" t="n">
        <v>0</v>
      </c>
      <c r="D12" t="n">
        <v>1e-09</v>
      </c>
      <c r="E12">
        <f>IF(ABS(B12-C12)&lt;=D12,"PASS","FAIL")</f>
        <v/>
      </c>
    </row>
    <row r="13">
      <c r="A13" t="inlineStr">
        <is>
          <t>Main Sensitivity row matches the Recovery sheet (China)</t>
        </is>
      </c>
      <c r="B13">
        <f>Sensitivity!R5-CHN_RECOVERED_5</f>
        <v/>
      </c>
      <c r="C13" t="n">
        <v>0</v>
      </c>
      <c r="D13" t="n">
        <v>1e-12</v>
      </c>
      <c r="E13">
        <f>IF(ABS(B13-C13)&lt;=D13,"PASS","FAIL")</f>
        <v/>
      </c>
    </row>
    <row r="14">
      <c r="A14" t="inlineStr">
        <is>
          <t>Main Sensitivity row matches the Recovery sheet (U.S.)</t>
        </is>
      </c>
      <c r="B14">
        <f>Sensitivity!S5-US_RECOVERED_5</f>
        <v/>
      </c>
      <c r="C14" t="n">
        <v>0</v>
      </c>
      <c r="D14" t="n">
        <v>1e-12</v>
      </c>
      <c r="E14">
        <f>IF(ABS(B14-C14)&lt;=D14,"PASS","FAIL")</f>
        <v/>
      </c>
    </row>
    <row r="15">
      <c r="A15" t="inlineStr">
        <is>
          <t>4. No gap value is positive (Scenario and Sensitivity)</t>
        </is>
      </c>
      <c r="B15">
        <f>MAX(Scenario!$C$10:$C$14,Scenario!$E$10:$E$14,Sensitivity!$H$5:$Q$27)</f>
        <v/>
      </c>
      <c r="C15" t="inlineStr">
        <is>
          <t>≤ 0</t>
        </is>
      </c>
      <c r="E15">
        <f>IF(B15&lt;=0,"PASS","FAIL")</f>
        <v/>
      </c>
    </row>
    <row r="16">
      <c r="A16" t="inlineStr">
        <is>
          <t>7. 2015–2025 labor-factor result shown next to the main result (China, U.S.)</t>
        </is>
      </c>
      <c r="B16">
        <f>TEXT(Sensitivity!R24,"0.0%")&amp;" / "&amp;TEXT(Sensitivity!S24,"0.0%")</f>
        <v/>
      </c>
      <c r="C16" t="inlineStr">
        <is>
          <t>both numbers present</t>
        </is>
      </c>
      <c r="E16">
        <f>IF(AND(ISNUMBER(Sensitivity!R24),ISNUMBER(Sensitivity!S24)),"PASS","FAIL")</f>
        <v/>
      </c>
    </row>
    <row r="17">
      <c r="A17" t="inlineStr">
        <is>
          <t>5. No hard-coded inputs in formulas (structural scan by the build script)</t>
        </is>
      </c>
      <c r="B17" t="inlineStr">
        <is>
          <t>none found</t>
        </is>
      </c>
      <c r="C17" t="inlineStr">
        <is>
          <t>only structural constants (0, 1, 4, 10, 100) and Sensitivity test values</t>
        </is>
      </c>
      <c r="E17" t="inlineStr">
        <is>
          <t>PASS</t>
        </is>
      </c>
    </row>
    <row r="19">
      <c r="A19" s="6" t="inlineStr">
        <is>
          <t>Falsifier result (from Recovery)</t>
        </is>
      </c>
      <c r="B19">
        <f>HYPOTHESIS_RESULT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2026-10-05T01:23:56Z</dcterms:created>
  <dcterms:modified xmlns:dcterms="http://purl.org/dc/terms/" xmlns:xsi="http://www.w3.org/2001/XMLSchema-instance" xsi:type="dcterms:W3CDTF">2026-10-05T01:23:56Z</dcterms:modified>
</cp:coreProperties>
</file>