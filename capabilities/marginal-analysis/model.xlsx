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/>
  <mc:AlternateContent xmlns:mc="http://schemas.openxmlformats.org/markup-compatibility/2006">
    <mc:Choice Requires="x15">
      <x15ac:absPath xmlns:x15ac="http://schemas.microsoft.com/office/spreadsheetml/2010/11/ac" url="/Users/michellebuff/Documents/GitHub/Michelle-Buff/capabilities/marginal-analysis/"/>
    </mc:Choice>
  </mc:AlternateContent>
  <xr:revisionPtr revIDLastSave="0" documentId="13_ncr:1_{33B9496E-C2BC-6140-B536-1F7A177D104B}" xr6:coauthVersionLast="47" xr6:coauthVersionMax="47" xr10:uidLastSave="{00000000-0000-0000-0000-000000000000}"/>
  <bookViews>
    <workbookView xWindow="-26940" yWindow="1520" windowWidth="19240" windowHeight="19360" activeTab="4" xr2:uid="{00000000-000D-0000-FFFF-FFFF00000000}"/>
  </bookViews>
  <sheets>
    <sheet name="Inputs" sheetId="1" r:id="rId1"/>
    <sheet name="Farm P&amp;L" sheetId="2" r:id="rId2"/>
    <sheet name="Marginal Analysis" sheetId="3" r:id="rId3"/>
    <sheet name="Optimization" sheetId="4" r:id="rId4"/>
    <sheet name="Checks" sheetId="5" r:id="rId5"/>
  </sheets>
  <definedNames>
    <definedName name="BLENDED_LABOR_RATE">'Farm P&amp;L'!$B$18</definedName>
    <definedName name="CAR_BEDS">Optimization!$B$7</definedName>
    <definedName name="CAR_DIM">Inputs!$B$25</definedName>
    <definedName name="CAR_FERT">Inputs!$B$24</definedName>
    <definedName name="CAR_HRS">Inputs!$B$23</definedName>
    <definedName name="CAR_LABOR_HRS">'Farm P&amp;L'!$E$6</definedName>
    <definedName name="CAR_MAX_BEDS">Inputs!$B$21</definedName>
    <definedName name="CAR_MC_DIPS">'Marginal Analysis'!$H$55</definedName>
    <definedName name="CAR_PMC_BEDS">'Marginal Analysis'!$H$54</definedName>
    <definedName name="CAR_PRICE">Inputs!$B$22</definedName>
    <definedName name="CONSTRAINTS_OK">Optimization!$B$32</definedName>
    <definedName name="FARMER_FIELD_HOURS">Inputs!$B$8</definedName>
    <definedName name="FARMER_FIELD_RATE">Inputs!$B$11</definedName>
    <definedName name="FARMER_HRS_USED">'Farm P&amp;L'!$B$12</definedName>
    <definedName name="FARMER_LABOR_COST">'Farm P&amp;L'!$B$15</definedName>
    <definedName name="FARMER_PAID_HOURS">Inputs!$B$10</definedName>
    <definedName name="FARMER_SALARY">Inputs!$B$9</definedName>
    <definedName name="FIXED_COSTS">Inputs!$B$6</definedName>
    <definedName name="FIXED_COSTS_APPLIED">'Farm P&amp;L'!$B$24</definedName>
    <definedName name="INTEGER_OK">Optimization!$B$31</definedName>
    <definedName name="MAX_TEMP_WORKERS">Inputs!$B$12</definedName>
    <definedName name="MAX_TOTAL_BEDS">Inputs!$B$7</definedName>
    <definedName name="MES_BEDS">Optimization!$B$8</definedName>
    <definedName name="MES_DIM">Inputs!$B$30</definedName>
    <definedName name="MES_FERT">Inputs!$B$29</definedName>
    <definedName name="MES_HRS">Inputs!$B$28</definedName>
    <definedName name="MES_LABOR_HRS">'Farm P&amp;L'!$E$7</definedName>
    <definedName name="MES_MAX_BEDS">Inputs!$B$26</definedName>
    <definedName name="MES_MC_DIPS">'Marginal Analysis'!$H$92</definedName>
    <definedName name="MES_PMC_BEDS">'Marginal Analysis'!$H$91</definedName>
    <definedName name="MES_PRICE">Inputs!$B$27</definedName>
    <definedName name="PROFIT">'Farm P&amp;L'!$B$26</definedName>
    <definedName name="SEASON_WEEKS">Inputs!$B$5</definedName>
    <definedName name="solver_adj" localSheetId="3" hidden="1">Optimization!$B$6:$B$8</definedName>
    <definedName name="solver_cvg" localSheetId="3" hidden="1">0.0001</definedName>
    <definedName name="solver_drv" localSheetId="3" hidden="1">1</definedName>
    <definedName name="solver_eng" localSheetId="3" hidden="1">1</definedName>
    <definedName name="solver_itr" localSheetId="3" hidden="1">2147483647</definedName>
    <definedName name="solver_lhs1" localSheetId="3" hidden="1">Optimization!$B$28</definedName>
    <definedName name="solver_lhs2" localSheetId="3" hidden="1">Optimization!$B$29</definedName>
    <definedName name="solver_lhs3" localSheetId="3" hidden="1">Optimization!$B$6:$B$8</definedName>
    <definedName name="solver_lhs4" localSheetId="3" hidden="1">Optimization!$B$7</definedName>
    <definedName name="solver_lhs5" localSheetId="3" hidden="1">Optimization!$B$8</definedName>
    <definedName name="solver_lhs6" localSheetId="3" hidden="1">Optimization!$B$6</definedName>
    <definedName name="solver_lin" localSheetId="3" hidden="1">2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6</definedName>
    <definedName name="solver_opt" localSheetId="3" hidden="1">Optimization!$B$11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1</definedName>
    <definedName name="solver_rel3" localSheetId="3" hidden="1">4</definedName>
    <definedName name="solver_rel4" localSheetId="3" hidden="1">1</definedName>
    <definedName name="solver_rel5" localSheetId="3" hidden="1">1</definedName>
    <definedName name="solver_rel6" localSheetId="3" hidden="1">1</definedName>
    <definedName name="solver_rhs1" localSheetId="3" hidden="1">64</definedName>
    <definedName name="solver_rhs2" localSheetId="3" hidden="1">4</definedName>
    <definedName name="solver_rhs3" localSheetId="3" hidden="1">"integer"</definedName>
    <definedName name="solver_rhs4" localSheetId="3" hidden="1">20</definedName>
    <definedName name="solver_rhs5" localSheetId="3" hidden="1">30</definedName>
    <definedName name="solver_rhs6" localSheetId="3" hidden="1">20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  <definedName name="TEMP_HOURS_PER_WORKER">Inputs!$B$13</definedName>
    <definedName name="TEMP_LABOR_COST">'Farm P&amp;L'!$B$16</definedName>
    <definedName name="TEMP_LABOR_HRS">'Farm P&amp;L'!$B$13</definedName>
    <definedName name="TEMP_RATE">Inputs!$B$15</definedName>
    <definedName name="TEMP_SALARY">Inputs!$B$14</definedName>
    <definedName name="TEMP_WORKERS_NEEDED">'Farm P&amp;L'!$B$14</definedName>
    <definedName name="TOM_BEDS">Optimization!$B$6</definedName>
    <definedName name="TOM_DIM">Inputs!$B$20</definedName>
    <definedName name="TOM_FERT">Inputs!$B$19</definedName>
    <definedName name="TOM_HRS">Inputs!$B$18</definedName>
    <definedName name="TOM_LABOR_HRS">'Farm P&amp;L'!$E$5</definedName>
    <definedName name="TOM_MAX_BEDS">Inputs!$B$16</definedName>
    <definedName name="TOM_MC_DIPS">'Marginal Analysis'!$H$28</definedName>
    <definedName name="TOM_PMC_BEDS">'Marginal Analysis'!$H$27</definedName>
    <definedName name="TOM_PRICE">Inputs!$B$17</definedName>
    <definedName name="TOTAL_BEDS">'Farm P&amp;L'!$B$27</definedName>
    <definedName name="TOTAL_COSTS">'Farm P&amp;L'!$B$25</definedName>
    <definedName name="TOTAL_FERT_COST">'Farm P&amp;L'!$B$22</definedName>
    <definedName name="TOTAL_LABOR_COST">'Farm P&amp;L'!$B$17</definedName>
    <definedName name="TOTAL_LABOR_HRS">'Farm P&amp;L'!$B$11</definedName>
    <definedName name="TOTAL_REVENUE">'Farm P&amp;L'!$B$21</definedName>
    <definedName name="UNUSED_BEDS">'Farm P&amp;L'!$B$28</definedName>
    <definedName name="VARIABLE_COSTS">'Farm P&amp;L'!$B$23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5" l="1"/>
  <c r="E13" i="5" s="1"/>
  <c r="B12" i="5"/>
  <c r="E12" i="5" s="1"/>
  <c r="B11" i="5"/>
  <c r="E11" i="5" s="1"/>
  <c r="B7" i="5"/>
  <c r="E7" i="5" s="1"/>
  <c r="B6" i="5"/>
  <c r="E6" i="5" s="1"/>
  <c r="B31" i="4"/>
  <c r="B29" i="5" s="1"/>
  <c r="D29" i="4"/>
  <c r="D28" i="4"/>
  <c r="D27" i="4"/>
  <c r="B27" i="4"/>
  <c r="E27" i="4" s="1"/>
  <c r="D26" i="4"/>
  <c r="B26" i="4"/>
  <c r="E26" i="4" s="1"/>
  <c r="D25" i="4"/>
  <c r="B25" i="4"/>
  <c r="E25" i="4" s="1"/>
  <c r="D24" i="4"/>
  <c r="B24" i="4"/>
  <c r="E24" i="4" s="1"/>
  <c r="D23" i="4"/>
  <c r="B23" i="4"/>
  <c r="E23" i="4" s="1"/>
  <c r="D22" i="4"/>
  <c r="B22" i="4"/>
  <c r="E22" i="4" s="1"/>
  <c r="I90" i="3"/>
  <c r="F90" i="3"/>
  <c r="B90" i="3"/>
  <c r="I89" i="3"/>
  <c r="F89" i="3"/>
  <c r="B89" i="3"/>
  <c r="I88" i="3"/>
  <c r="F88" i="3"/>
  <c r="B88" i="3"/>
  <c r="I87" i="3"/>
  <c r="F87" i="3"/>
  <c r="B87" i="3"/>
  <c r="I86" i="3"/>
  <c r="F86" i="3"/>
  <c r="D86" i="3"/>
  <c r="C86" i="3"/>
  <c r="B86" i="3"/>
  <c r="I85" i="3"/>
  <c r="F85" i="3"/>
  <c r="B85" i="3"/>
  <c r="I84" i="3"/>
  <c r="F84" i="3"/>
  <c r="B84" i="3"/>
  <c r="I83" i="3"/>
  <c r="F83" i="3"/>
  <c r="B83" i="3"/>
  <c r="I82" i="3"/>
  <c r="F82" i="3"/>
  <c r="B82" i="3"/>
  <c r="I81" i="3"/>
  <c r="F81" i="3"/>
  <c r="B81" i="3"/>
  <c r="I80" i="3"/>
  <c r="F80" i="3"/>
  <c r="B80" i="3"/>
  <c r="I79" i="3"/>
  <c r="F79" i="3"/>
  <c r="B79" i="3"/>
  <c r="I78" i="3"/>
  <c r="F78" i="3"/>
  <c r="B78" i="3"/>
  <c r="I77" i="3"/>
  <c r="F77" i="3"/>
  <c r="B77" i="3"/>
  <c r="I76" i="3"/>
  <c r="F76" i="3"/>
  <c r="B76" i="3"/>
  <c r="I75" i="3"/>
  <c r="F75" i="3"/>
  <c r="B75" i="3"/>
  <c r="I74" i="3"/>
  <c r="F74" i="3"/>
  <c r="B74" i="3"/>
  <c r="I73" i="3"/>
  <c r="F73" i="3"/>
  <c r="B73" i="3"/>
  <c r="I72" i="3"/>
  <c r="F72" i="3"/>
  <c r="B72" i="3"/>
  <c r="I71" i="3"/>
  <c r="F71" i="3"/>
  <c r="B71" i="3"/>
  <c r="I70" i="3"/>
  <c r="F70" i="3"/>
  <c r="B70" i="3"/>
  <c r="I69" i="3"/>
  <c r="F69" i="3"/>
  <c r="B69" i="3"/>
  <c r="I68" i="3"/>
  <c r="F68" i="3"/>
  <c r="B68" i="3"/>
  <c r="I67" i="3"/>
  <c r="F67" i="3"/>
  <c r="B67" i="3"/>
  <c r="I66" i="3"/>
  <c r="F66" i="3"/>
  <c r="B66" i="3"/>
  <c r="I65" i="3"/>
  <c r="F65" i="3"/>
  <c r="B65" i="3"/>
  <c r="I64" i="3"/>
  <c r="F64" i="3"/>
  <c r="B64" i="3"/>
  <c r="I63" i="3"/>
  <c r="F63" i="3"/>
  <c r="B63" i="3"/>
  <c r="I62" i="3"/>
  <c r="F62" i="3"/>
  <c r="B62" i="3"/>
  <c r="L61" i="3"/>
  <c r="I61" i="3"/>
  <c r="F61" i="3"/>
  <c r="B61" i="3"/>
  <c r="L60" i="3"/>
  <c r="K60" i="3"/>
  <c r="J60" i="3"/>
  <c r="I60" i="3"/>
  <c r="H60" i="3"/>
  <c r="F60" i="3"/>
  <c r="B60" i="3"/>
  <c r="I53" i="3"/>
  <c r="F53" i="3"/>
  <c r="I52" i="3"/>
  <c r="F52" i="3"/>
  <c r="I51" i="3"/>
  <c r="F51" i="3"/>
  <c r="I50" i="3"/>
  <c r="F50" i="3"/>
  <c r="I49" i="3"/>
  <c r="F49" i="3"/>
  <c r="I48" i="3"/>
  <c r="F48" i="3"/>
  <c r="I47" i="3"/>
  <c r="F47" i="3"/>
  <c r="I46" i="3"/>
  <c r="F46" i="3"/>
  <c r="I45" i="3"/>
  <c r="F45" i="3"/>
  <c r="I44" i="3"/>
  <c r="F44" i="3"/>
  <c r="I43" i="3"/>
  <c r="F43" i="3"/>
  <c r="I42" i="3"/>
  <c r="F42" i="3"/>
  <c r="I41" i="3"/>
  <c r="F41" i="3"/>
  <c r="I40" i="3"/>
  <c r="F40" i="3"/>
  <c r="I39" i="3"/>
  <c r="F39" i="3"/>
  <c r="I38" i="3"/>
  <c r="F38" i="3"/>
  <c r="I37" i="3"/>
  <c r="F37" i="3"/>
  <c r="I36" i="3"/>
  <c r="F36" i="3"/>
  <c r="I35" i="3"/>
  <c r="F35" i="3"/>
  <c r="L34" i="3"/>
  <c r="I34" i="3"/>
  <c r="F34" i="3"/>
  <c r="L33" i="3"/>
  <c r="K33" i="3"/>
  <c r="J33" i="3"/>
  <c r="I33" i="3"/>
  <c r="H33" i="3"/>
  <c r="F33" i="3"/>
  <c r="I26" i="3"/>
  <c r="F26" i="3"/>
  <c r="B26" i="3"/>
  <c r="I25" i="3"/>
  <c r="F25" i="3"/>
  <c r="B25" i="3"/>
  <c r="I24" i="3"/>
  <c r="F24" i="3"/>
  <c r="B24" i="3"/>
  <c r="I23" i="3"/>
  <c r="F23" i="3"/>
  <c r="B23" i="3"/>
  <c r="I22" i="3"/>
  <c r="F22" i="3"/>
  <c r="B22" i="3"/>
  <c r="I21" i="3"/>
  <c r="F21" i="3"/>
  <c r="B21" i="3"/>
  <c r="I20" i="3"/>
  <c r="F20" i="3"/>
  <c r="B20" i="3"/>
  <c r="I19" i="3"/>
  <c r="F19" i="3"/>
  <c r="B19" i="3"/>
  <c r="I18" i="3"/>
  <c r="F18" i="3"/>
  <c r="B18" i="3"/>
  <c r="I17" i="3"/>
  <c r="F17" i="3"/>
  <c r="B17" i="3"/>
  <c r="I16" i="3"/>
  <c r="F16" i="3"/>
  <c r="B16" i="3"/>
  <c r="I15" i="3"/>
  <c r="F15" i="3"/>
  <c r="B15" i="3"/>
  <c r="I14" i="3"/>
  <c r="F14" i="3"/>
  <c r="B14" i="3"/>
  <c r="I13" i="3"/>
  <c r="F13" i="3"/>
  <c r="B13" i="3"/>
  <c r="I12" i="3"/>
  <c r="F12" i="3"/>
  <c r="B12" i="3"/>
  <c r="I11" i="3"/>
  <c r="F11" i="3"/>
  <c r="B11" i="3"/>
  <c r="I10" i="3"/>
  <c r="F10" i="3"/>
  <c r="B10" i="3"/>
  <c r="I9" i="3"/>
  <c r="F9" i="3"/>
  <c r="B9" i="3"/>
  <c r="I8" i="3"/>
  <c r="F8" i="3"/>
  <c r="B8" i="3"/>
  <c r="L7" i="3"/>
  <c r="I7" i="3"/>
  <c r="F7" i="3"/>
  <c r="B7" i="3"/>
  <c r="L6" i="3"/>
  <c r="K6" i="3"/>
  <c r="J6" i="3"/>
  <c r="I6" i="3"/>
  <c r="H6" i="3"/>
  <c r="F6" i="3"/>
  <c r="B6" i="3"/>
  <c r="B27" i="2"/>
  <c r="B28" i="4" s="1"/>
  <c r="E28" i="4" s="1"/>
  <c r="B24" i="2"/>
  <c r="F7" i="2"/>
  <c r="E7" i="2"/>
  <c r="D7" i="2"/>
  <c r="C7" i="2"/>
  <c r="B7" i="2"/>
  <c r="F6" i="2"/>
  <c r="D6" i="2"/>
  <c r="C6" i="2"/>
  <c r="B6" i="2"/>
  <c r="F5" i="2"/>
  <c r="E5" i="2"/>
  <c r="D5" i="2"/>
  <c r="C5" i="2"/>
  <c r="B5" i="2"/>
  <c r="B23" i="1"/>
  <c r="B15" i="1"/>
  <c r="B10" i="1"/>
  <c r="B11" i="1" s="1"/>
  <c r="D8" i="2" l="1"/>
  <c r="B21" i="2"/>
  <c r="B32" i="5" s="1"/>
  <c r="C90" i="3"/>
  <c r="D90" i="3"/>
  <c r="D89" i="3"/>
  <c r="C89" i="3"/>
  <c r="D88" i="3"/>
  <c r="C88" i="3"/>
  <c r="E88" i="3" s="1"/>
  <c r="G88" i="3" s="1"/>
  <c r="C87" i="3"/>
  <c r="D87" i="3"/>
  <c r="C85" i="3"/>
  <c r="D85" i="3"/>
  <c r="C84" i="3"/>
  <c r="D84" i="3"/>
  <c r="C83" i="3"/>
  <c r="E83" i="3" s="1"/>
  <c r="G83" i="3" s="1"/>
  <c r="D83" i="3"/>
  <c r="D82" i="3"/>
  <c r="C82" i="3"/>
  <c r="C81" i="3"/>
  <c r="D81" i="3"/>
  <c r="C80" i="3"/>
  <c r="D80" i="3"/>
  <c r="C79" i="3"/>
  <c r="D79" i="3"/>
  <c r="C78" i="3"/>
  <c r="D78" i="3"/>
  <c r="C77" i="3"/>
  <c r="D77" i="3"/>
  <c r="C76" i="3"/>
  <c r="D76" i="3"/>
  <c r="C75" i="3"/>
  <c r="D75" i="3"/>
  <c r="C74" i="3"/>
  <c r="D74" i="3"/>
  <c r="C73" i="3"/>
  <c r="D73" i="3"/>
  <c r="D72" i="3"/>
  <c r="C72" i="3"/>
  <c r="E72" i="3" s="1"/>
  <c r="G72" i="3" s="1"/>
  <c r="H72" i="3" s="1"/>
  <c r="D71" i="3"/>
  <c r="C71" i="3"/>
  <c r="E71" i="3" s="1"/>
  <c r="G71" i="3" s="1"/>
  <c r="D70" i="3"/>
  <c r="C70" i="3"/>
  <c r="E70" i="3" s="1"/>
  <c r="G70" i="3" s="1"/>
  <c r="C69" i="3"/>
  <c r="D69" i="3"/>
  <c r="D68" i="3"/>
  <c r="C68" i="3"/>
  <c r="E68" i="3" s="1"/>
  <c r="G68" i="3" s="1"/>
  <c r="H68" i="3" s="1"/>
  <c r="D67" i="3"/>
  <c r="C67" i="3"/>
  <c r="E67" i="3" s="1"/>
  <c r="G67" i="3" s="1"/>
  <c r="D66" i="3"/>
  <c r="C66" i="3"/>
  <c r="E66" i="3" s="1"/>
  <c r="G66" i="3" s="1"/>
  <c r="C65" i="3"/>
  <c r="D65" i="3"/>
  <c r="C64" i="3"/>
  <c r="D64" i="3"/>
  <c r="D63" i="3"/>
  <c r="C63" i="3"/>
  <c r="E63" i="3" s="1"/>
  <c r="G63" i="3" s="1"/>
  <c r="D62" i="3"/>
  <c r="C62" i="3"/>
  <c r="E62" i="3" s="1"/>
  <c r="G62" i="3" s="1"/>
  <c r="D61" i="3"/>
  <c r="C61" i="3"/>
  <c r="E61" i="3" s="1"/>
  <c r="G61" i="3" s="1"/>
  <c r="D60" i="3"/>
  <c r="C60" i="3"/>
  <c r="E60" i="3" s="1"/>
  <c r="G60" i="3" s="1"/>
  <c r="C26" i="3"/>
  <c r="D26" i="3"/>
  <c r="C25" i="3"/>
  <c r="D25" i="3"/>
  <c r="C24" i="3"/>
  <c r="D24" i="3"/>
  <c r="D23" i="3"/>
  <c r="C23" i="3"/>
  <c r="E23" i="3" s="1"/>
  <c r="G23" i="3" s="1"/>
  <c r="C22" i="3"/>
  <c r="D22" i="3"/>
  <c r="C21" i="3"/>
  <c r="D21" i="3"/>
  <c r="D20" i="3"/>
  <c r="C20" i="3"/>
  <c r="E20" i="3" s="1"/>
  <c r="G20" i="3" s="1"/>
  <c r="D19" i="3"/>
  <c r="C19" i="3"/>
  <c r="E19" i="3" s="1"/>
  <c r="G19" i="3" s="1"/>
  <c r="D18" i="3"/>
  <c r="C18" i="3"/>
  <c r="E18" i="3" s="1"/>
  <c r="G18" i="3" s="1"/>
  <c r="D17" i="3"/>
  <c r="C17" i="3"/>
  <c r="E17" i="3" s="1"/>
  <c r="G17" i="3" s="1"/>
  <c r="C16" i="3"/>
  <c r="D16" i="3"/>
  <c r="C15" i="3"/>
  <c r="D15" i="3"/>
  <c r="C14" i="3"/>
  <c r="D14" i="3"/>
  <c r="C13" i="3"/>
  <c r="D13" i="3"/>
  <c r="C12" i="3"/>
  <c r="D12" i="3"/>
  <c r="C11" i="3"/>
  <c r="D11" i="3"/>
  <c r="D10" i="3"/>
  <c r="C10" i="3"/>
  <c r="E10" i="3" s="1"/>
  <c r="G10" i="3" s="1"/>
  <c r="D9" i="3"/>
  <c r="C9" i="3"/>
  <c r="E9" i="3" s="1"/>
  <c r="G9" i="3" s="1"/>
  <c r="D8" i="3"/>
  <c r="C8" i="3"/>
  <c r="E8" i="3" s="1"/>
  <c r="G8" i="3" s="1"/>
  <c r="D7" i="3"/>
  <c r="C7" i="3"/>
  <c r="E7" i="3" s="1"/>
  <c r="G7" i="3" s="1"/>
  <c r="C6" i="3"/>
  <c r="D6" i="3"/>
  <c r="B28" i="2"/>
  <c r="B14" i="5"/>
  <c r="E14" i="5" s="1"/>
  <c r="B22" i="2"/>
  <c r="F8" i="2"/>
  <c r="B8" i="2"/>
  <c r="B45" i="3"/>
  <c r="B42" i="3"/>
  <c r="B43" i="3"/>
  <c r="B44" i="3"/>
  <c r="B41" i="3"/>
  <c r="B46" i="3"/>
  <c r="B47" i="3"/>
  <c r="B40" i="3"/>
  <c r="B39" i="3"/>
  <c r="B38" i="3"/>
  <c r="B48" i="3"/>
  <c r="B49" i="3"/>
  <c r="B50" i="3"/>
  <c r="B51" i="3"/>
  <c r="B52" i="3"/>
  <c r="B53" i="3"/>
  <c r="B37" i="3"/>
  <c r="B36" i="3"/>
  <c r="B35" i="3"/>
  <c r="B34" i="3"/>
  <c r="B33" i="3"/>
  <c r="E6" i="2"/>
  <c r="E86" i="3"/>
  <c r="G86" i="3" s="1"/>
  <c r="J72" i="3" l="1"/>
  <c r="K72" i="3"/>
  <c r="J68" i="3"/>
  <c r="K68" i="3"/>
  <c r="C45" i="3"/>
  <c r="D45" i="3"/>
  <c r="C42" i="3"/>
  <c r="D42" i="3"/>
  <c r="C43" i="3"/>
  <c r="D43" i="3"/>
  <c r="C44" i="3"/>
  <c r="E44" i="3" s="1"/>
  <c r="G44" i="3" s="1"/>
  <c r="D44" i="3"/>
  <c r="C41" i="3"/>
  <c r="D41" i="3"/>
  <c r="C46" i="3"/>
  <c r="D46" i="3"/>
  <c r="C47" i="3"/>
  <c r="D47" i="3"/>
  <c r="C40" i="3"/>
  <c r="D40" i="3"/>
  <c r="C39" i="3"/>
  <c r="D39" i="3"/>
  <c r="C38" i="3"/>
  <c r="D38" i="3"/>
  <c r="C48" i="3"/>
  <c r="D48" i="3"/>
  <c r="C49" i="3"/>
  <c r="D49" i="3"/>
  <c r="C50" i="3"/>
  <c r="D50" i="3"/>
  <c r="C51" i="3"/>
  <c r="D51" i="3"/>
  <c r="C52" i="3"/>
  <c r="D52" i="3"/>
  <c r="C53" i="3"/>
  <c r="D53" i="3"/>
  <c r="C37" i="3"/>
  <c r="D37" i="3"/>
  <c r="C36" i="3"/>
  <c r="D36" i="3"/>
  <c r="C35" i="3"/>
  <c r="D35" i="3"/>
  <c r="C34" i="3"/>
  <c r="D34" i="3"/>
  <c r="C33" i="3"/>
  <c r="D33" i="3"/>
  <c r="E82" i="3"/>
  <c r="G82" i="3" s="1"/>
  <c r="E81" i="3"/>
  <c r="G81" i="3" s="1"/>
  <c r="E80" i="3"/>
  <c r="G80" i="3" s="1"/>
  <c r="E79" i="3"/>
  <c r="G79" i="3" s="1"/>
  <c r="E78" i="3"/>
  <c r="G78" i="3" s="1"/>
  <c r="E77" i="3"/>
  <c r="G77" i="3" s="1"/>
  <c r="E76" i="3"/>
  <c r="G76" i="3" s="1"/>
  <c r="H76" i="3" s="1"/>
  <c r="E75" i="3"/>
  <c r="G75" i="3" s="1"/>
  <c r="E74" i="3"/>
  <c r="G74" i="3" s="1"/>
  <c r="E73" i="3"/>
  <c r="G73" i="3" s="1"/>
  <c r="H73" i="3" s="1"/>
  <c r="H71" i="3"/>
  <c r="L72" i="3" s="1"/>
  <c r="E69" i="3"/>
  <c r="G69" i="3" s="1"/>
  <c r="E22" i="3"/>
  <c r="G22" i="3" s="1"/>
  <c r="H20" i="3"/>
  <c r="H18" i="3"/>
  <c r="E16" i="3"/>
  <c r="G16" i="3" s="1"/>
  <c r="E15" i="3"/>
  <c r="G15" i="3" s="1"/>
  <c r="E14" i="3"/>
  <c r="G14" i="3" s="1"/>
  <c r="E13" i="3"/>
  <c r="G13" i="3" s="1"/>
  <c r="E12" i="3"/>
  <c r="G12" i="3" s="1"/>
  <c r="H12" i="3" s="1"/>
  <c r="H9" i="3"/>
  <c r="H8" i="3"/>
  <c r="E6" i="3"/>
  <c r="E90" i="3"/>
  <c r="G90" i="3" s="1"/>
  <c r="E89" i="3"/>
  <c r="G89" i="3" s="1"/>
  <c r="H89" i="3" s="1"/>
  <c r="E87" i="3"/>
  <c r="G87" i="3" s="1"/>
  <c r="E85" i="3"/>
  <c r="G85" i="3" s="1"/>
  <c r="E84" i="3"/>
  <c r="G84" i="3" s="1"/>
  <c r="H84" i="3" s="1"/>
  <c r="H67" i="3"/>
  <c r="L68" i="3" s="1"/>
  <c r="E65" i="3"/>
  <c r="G65" i="3" s="1"/>
  <c r="E64" i="3"/>
  <c r="G64" i="3" s="1"/>
  <c r="H64" i="3" s="1"/>
  <c r="H63" i="3"/>
  <c r="H62" i="3"/>
  <c r="H61" i="3"/>
  <c r="E26" i="3"/>
  <c r="G26" i="3" s="1"/>
  <c r="E25" i="3"/>
  <c r="G25" i="3" s="1"/>
  <c r="E24" i="3"/>
  <c r="G24" i="3" s="1"/>
  <c r="H24" i="3" s="1"/>
  <c r="E21" i="3"/>
  <c r="G21" i="3" s="1"/>
  <c r="H21" i="3" s="1"/>
  <c r="H19" i="3"/>
  <c r="E11" i="3"/>
  <c r="G11" i="3" s="1"/>
  <c r="H11" i="3" s="1"/>
  <c r="H10" i="3"/>
  <c r="E8" i="2"/>
  <c r="B11" i="2"/>
  <c r="H83" i="3" l="1"/>
  <c r="H82" i="3"/>
  <c r="L76" i="3"/>
  <c r="K76" i="3"/>
  <c r="J76" i="3"/>
  <c r="L73" i="3"/>
  <c r="K73" i="3"/>
  <c r="J73" i="3"/>
  <c r="K71" i="3"/>
  <c r="J71" i="3"/>
  <c r="H70" i="3"/>
  <c r="L71" i="3" s="1"/>
  <c r="H69" i="3"/>
  <c r="H23" i="3"/>
  <c r="H22" i="3"/>
  <c r="L20" i="3"/>
  <c r="K20" i="3"/>
  <c r="J20" i="3"/>
  <c r="L18" i="3"/>
  <c r="K18" i="3"/>
  <c r="J18" i="3"/>
  <c r="H17" i="3"/>
  <c r="H16" i="3"/>
  <c r="L12" i="3"/>
  <c r="K12" i="3"/>
  <c r="J12" i="3"/>
  <c r="L9" i="3"/>
  <c r="K9" i="3"/>
  <c r="J9" i="3"/>
  <c r="K8" i="3"/>
  <c r="J8" i="3"/>
  <c r="G6" i="3"/>
  <c r="K89" i="3"/>
  <c r="J89" i="3"/>
  <c r="H88" i="3"/>
  <c r="L89" i="3" s="1"/>
  <c r="H87" i="3"/>
  <c r="H86" i="3"/>
  <c r="H85" i="3"/>
  <c r="L84" i="3"/>
  <c r="K84" i="3"/>
  <c r="J84" i="3"/>
  <c r="K67" i="3"/>
  <c r="J67" i="3"/>
  <c r="H66" i="3"/>
  <c r="L67" i="3" s="1"/>
  <c r="H65" i="3"/>
  <c r="L64" i="3"/>
  <c r="K64" i="3"/>
  <c r="J64" i="3"/>
  <c r="L63" i="3"/>
  <c r="K63" i="3"/>
  <c r="J63" i="3"/>
  <c r="L62" i="3"/>
  <c r="K62" i="3"/>
  <c r="J62" i="3"/>
  <c r="K61" i="3"/>
  <c r="J61" i="3"/>
  <c r="L24" i="3"/>
  <c r="K24" i="3"/>
  <c r="J24" i="3"/>
  <c r="L21" i="3"/>
  <c r="K21" i="3"/>
  <c r="J21" i="3"/>
  <c r="L19" i="3"/>
  <c r="K19" i="3"/>
  <c r="J19" i="3"/>
  <c r="L11" i="3"/>
  <c r="K11" i="3"/>
  <c r="J11" i="3"/>
  <c r="L10" i="3"/>
  <c r="K10" i="3"/>
  <c r="J10" i="3"/>
  <c r="B15" i="5"/>
  <c r="E15" i="5" s="1"/>
  <c r="B13" i="2"/>
  <c r="B12" i="2"/>
  <c r="E41" i="3"/>
  <c r="G41" i="3" s="1"/>
  <c r="E46" i="3"/>
  <c r="G46" i="3" s="1"/>
  <c r="H46" i="3" s="1"/>
  <c r="E47" i="3"/>
  <c r="G47" i="3" s="1"/>
  <c r="H47" i="3" s="1"/>
  <c r="E40" i="3"/>
  <c r="G40" i="3" s="1"/>
  <c r="H40" i="3" s="1"/>
  <c r="E39" i="3"/>
  <c r="G39" i="3" s="1"/>
  <c r="E38" i="3"/>
  <c r="G38" i="3" s="1"/>
  <c r="E48" i="3"/>
  <c r="G48" i="3" s="1"/>
  <c r="E49" i="3"/>
  <c r="G49" i="3" s="1"/>
  <c r="H49" i="3" s="1"/>
  <c r="E50" i="3"/>
  <c r="G50" i="3" s="1"/>
  <c r="H50" i="3" s="1"/>
  <c r="E51" i="3"/>
  <c r="G51" i="3" s="1"/>
  <c r="H51" i="3" s="1"/>
  <c r="H15" i="3"/>
  <c r="H13" i="3"/>
  <c r="H90" i="3"/>
  <c r="E52" i="3"/>
  <c r="G52" i="3" s="1"/>
  <c r="H52" i="3" s="1"/>
  <c r="E53" i="3"/>
  <c r="G53" i="3" s="1"/>
  <c r="H53" i="3" s="1"/>
  <c r="E37" i="3"/>
  <c r="G37" i="3" s="1"/>
  <c r="E36" i="3"/>
  <c r="G36" i="3" s="1"/>
  <c r="E35" i="3"/>
  <c r="G35" i="3" s="1"/>
  <c r="E34" i="3"/>
  <c r="G34" i="3" s="1"/>
  <c r="H34" i="3" s="1"/>
  <c r="E33" i="3"/>
  <c r="G33" i="3" s="1"/>
  <c r="H81" i="3"/>
  <c r="H80" i="3"/>
  <c r="H79" i="3"/>
  <c r="H78" i="3"/>
  <c r="H77" i="3"/>
  <c r="H75" i="3"/>
  <c r="H74" i="3"/>
  <c r="H14" i="3"/>
  <c r="H26" i="3"/>
  <c r="H25" i="3"/>
  <c r="E45" i="3"/>
  <c r="G45" i="3" s="1"/>
  <c r="H45" i="3" s="1"/>
  <c r="E42" i="3"/>
  <c r="G42" i="3" s="1"/>
  <c r="E43" i="3"/>
  <c r="G43" i="3" s="1"/>
  <c r="L83" i="3" l="1"/>
  <c r="K83" i="3"/>
  <c r="J83" i="3"/>
  <c r="L82" i="3"/>
  <c r="K82" i="3"/>
  <c r="J82" i="3"/>
  <c r="L70" i="3"/>
  <c r="K70" i="3"/>
  <c r="J70" i="3"/>
  <c r="L69" i="3"/>
  <c r="K69" i="3"/>
  <c r="J69" i="3"/>
  <c r="L23" i="3"/>
  <c r="K23" i="3"/>
  <c r="J23" i="3"/>
  <c r="L22" i="3"/>
  <c r="K22" i="3"/>
  <c r="J22" i="3"/>
  <c r="L17" i="3"/>
  <c r="K17" i="3"/>
  <c r="J17" i="3"/>
  <c r="L16" i="3"/>
  <c r="K16" i="3"/>
  <c r="J16" i="3"/>
  <c r="J88" i="3"/>
  <c r="L88" i="3"/>
  <c r="K88" i="3"/>
  <c r="K87" i="3"/>
  <c r="L87" i="3"/>
  <c r="J87" i="3"/>
  <c r="J86" i="3"/>
  <c r="K86" i="3"/>
  <c r="L86" i="3"/>
  <c r="L85" i="3"/>
  <c r="K85" i="3"/>
  <c r="J85" i="3"/>
  <c r="L66" i="3"/>
  <c r="K66" i="3"/>
  <c r="J66" i="3"/>
  <c r="L65" i="3"/>
  <c r="K65" i="3"/>
  <c r="H91" i="3" s="1"/>
  <c r="B20" i="5" s="1"/>
  <c r="E20" i="5" s="1"/>
  <c r="J65" i="3"/>
  <c r="B14" i="2"/>
  <c r="B16" i="2"/>
  <c r="B15" i="2"/>
  <c r="B30" i="5"/>
  <c r="L46" i="3"/>
  <c r="K46" i="3"/>
  <c r="J46" i="3"/>
  <c r="L47" i="3"/>
  <c r="K47" i="3"/>
  <c r="J47" i="3"/>
  <c r="L40" i="3"/>
  <c r="K40" i="3"/>
  <c r="J40" i="3"/>
  <c r="L49" i="3"/>
  <c r="K49" i="3"/>
  <c r="J49" i="3"/>
  <c r="L50" i="3"/>
  <c r="K50" i="3"/>
  <c r="J50" i="3"/>
  <c r="L51" i="3"/>
  <c r="K51" i="3"/>
  <c r="J51" i="3"/>
  <c r="J15" i="3"/>
  <c r="K15" i="3"/>
  <c r="L15" i="3"/>
  <c r="J13" i="3"/>
  <c r="K13" i="3"/>
  <c r="L13" i="3"/>
  <c r="J90" i="3"/>
  <c r="K90" i="3"/>
  <c r="L90" i="3"/>
  <c r="L52" i="3"/>
  <c r="K52" i="3"/>
  <c r="J52" i="3"/>
  <c r="L53" i="3"/>
  <c r="K53" i="3"/>
  <c r="J53" i="3"/>
  <c r="K34" i="3"/>
  <c r="J34" i="3"/>
  <c r="J81" i="3"/>
  <c r="K81" i="3"/>
  <c r="L81" i="3"/>
  <c r="J80" i="3"/>
  <c r="K80" i="3"/>
  <c r="L80" i="3"/>
  <c r="J79" i="3"/>
  <c r="K79" i="3"/>
  <c r="L79" i="3"/>
  <c r="J78" i="3"/>
  <c r="K78" i="3"/>
  <c r="L78" i="3"/>
  <c r="J77" i="3"/>
  <c r="K77" i="3"/>
  <c r="L77" i="3"/>
  <c r="J75" i="3"/>
  <c r="K75" i="3"/>
  <c r="L75" i="3"/>
  <c r="J74" i="3"/>
  <c r="K74" i="3"/>
  <c r="L74" i="3"/>
  <c r="J14" i="3"/>
  <c r="K14" i="3"/>
  <c r="L14" i="3"/>
  <c r="J26" i="3"/>
  <c r="K26" i="3"/>
  <c r="L26" i="3"/>
  <c r="J25" i="3"/>
  <c r="K25" i="3"/>
  <c r="L25" i="3"/>
  <c r="K45" i="3"/>
  <c r="J45" i="3"/>
  <c r="H44" i="3"/>
  <c r="L45" i="3" s="1"/>
  <c r="H43" i="3"/>
  <c r="H39" i="3"/>
  <c r="H38" i="3"/>
  <c r="H48" i="3"/>
  <c r="H37" i="3"/>
  <c r="H36" i="3"/>
  <c r="H35" i="3"/>
  <c r="H42" i="3"/>
  <c r="H41" i="3"/>
  <c r="H7" i="3"/>
  <c r="B17" i="2" l="1"/>
  <c r="B16" i="5"/>
  <c r="E16" i="5" s="1"/>
  <c r="B29" i="4"/>
  <c r="E29" i="4" s="1"/>
  <c r="B32" i="4" s="1"/>
  <c r="B28" i="5" s="1"/>
  <c r="L44" i="3"/>
  <c r="K44" i="3"/>
  <c r="J44" i="3"/>
  <c r="L43" i="3"/>
  <c r="K43" i="3"/>
  <c r="J43" i="3"/>
  <c r="J39" i="3"/>
  <c r="K39" i="3"/>
  <c r="L39" i="3"/>
  <c r="J38" i="3"/>
  <c r="K38" i="3"/>
  <c r="L38" i="3"/>
  <c r="J48" i="3"/>
  <c r="K48" i="3"/>
  <c r="L48" i="3"/>
  <c r="J37" i="3"/>
  <c r="K37" i="3"/>
  <c r="L37" i="3"/>
  <c r="J36" i="3"/>
  <c r="K36" i="3"/>
  <c r="L36" i="3"/>
  <c r="J35" i="3"/>
  <c r="K35" i="3"/>
  <c r="L35" i="3"/>
  <c r="J42" i="3"/>
  <c r="K42" i="3"/>
  <c r="L42" i="3"/>
  <c r="J41" i="3"/>
  <c r="K41" i="3"/>
  <c r="L41" i="3"/>
  <c r="J7" i="3"/>
  <c r="K7" i="3"/>
  <c r="H27" i="3" s="1"/>
  <c r="B18" i="5" s="1"/>
  <c r="E18" i="5" s="1"/>
  <c r="L8" i="3"/>
  <c r="H28" i="3" s="1"/>
  <c r="B36" i="5" s="1"/>
  <c r="H92" i="3"/>
  <c r="B38" i="5" s="1"/>
  <c r="B23" i="2" l="1"/>
  <c r="B25" i="2" s="1"/>
  <c r="B18" i="2"/>
  <c r="G7" i="2" s="1"/>
  <c r="H54" i="3"/>
  <c r="B19" i="5" s="1"/>
  <c r="E19" i="5" s="1"/>
  <c r="H55" i="3"/>
  <c r="B37" i="5" s="1"/>
  <c r="B24" i="5"/>
  <c r="G6" i="2" l="1"/>
  <c r="B27" i="5"/>
  <c r="G5" i="2"/>
  <c r="B26" i="2"/>
  <c r="B31" i="5"/>
  <c r="G8" i="2" l="1"/>
  <c r="B25" i="5" s="1"/>
  <c r="B17" i="5"/>
  <c r="E17" i="5" s="1"/>
  <c r="B11" i="4"/>
  <c r="B26" i="5" s="1"/>
</calcChain>
</file>

<file path=xl/sharedStrings.xml><?xml version="1.0" encoding="utf-8"?>
<sst xmlns="http://schemas.openxmlformats.org/spreadsheetml/2006/main" count="284" uniqueCount="171">
  <si>
    <t>Inputs — the named contract</t>
  </si>
  <si>
    <t>All named assumptions from the case, given and derived, with units and sources. Derived values are computed from their source values at full precision; no rounded hard-coded values are used.</t>
  </si>
  <si>
    <t>Named range</t>
  </si>
  <si>
    <t>Value</t>
  </si>
  <si>
    <t>Unit</t>
  </si>
  <si>
    <t>Source</t>
  </si>
  <si>
    <t>SEASON_WEEKS</t>
  </si>
  <si>
    <t>weeks</t>
  </si>
  <si>
    <t>Case scenario</t>
  </si>
  <si>
    <t>FIXED_COSTS</t>
  </si>
  <si>
    <t>USD/season</t>
  </si>
  <si>
    <t>MAX_TOTAL_BEDS</t>
  </si>
  <si>
    <t>beds</t>
  </si>
  <si>
    <t>FARMER_FIELD_HOURS</t>
  </si>
  <si>
    <t>hours/season</t>
  </si>
  <si>
    <t>FARMER_SALARY</t>
  </si>
  <si>
    <t>FARMER_PAID_HOURS</t>
  </si>
  <si>
    <t>Derived from 40 paid hours/week × 36 weeks</t>
  </si>
  <si>
    <t>FARMER_FIELD_RATE</t>
  </si>
  <si>
    <t>USD/hour</t>
  </si>
  <si>
    <t>Derived</t>
  </si>
  <si>
    <t>MAX_TEMP_WORKERS</t>
  </si>
  <si>
    <t>workers</t>
  </si>
  <si>
    <t>TEMP_HOURS_PER_WORKER</t>
  </si>
  <si>
    <t>TEMP_SALARY</t>
  </si>
  <si>
    <t>TEMP_RATE</t>
  </si>
  <si>
    <t>TOM_MAX_BEDS</t>
  </si>
  <si>
    <t>TOM_PRICE</t>
  </si>
  <si>
    <t>USD/bed</t>
  </si>
  <si>
    <t>TOM_HRS</t>
  </si>
  <si>
    <t>hours/week/bed</t>
  </si>
  <si>
    <t>TOM_FERT</t>
  </si>
  <si>
    <t>TOM_DIM</t>
  </si>
  <si>
    <t>decimal (10.0% per bed)</t>
  </si>
  <si>
    <t>CAR_MAX_BEDS</t>
  </si>
  <si>
    <t>CAR_PRICE</t>
  </si>
  <si>
    <t>CAR_HRS</t>
  </si>
  <si>
    <t>Case scenario — defined as tomato labor / 3</t>
  </si>
  <si>
    <t>CAR_FERT</t>
  </si>
  <si>
    <t>CAR_DIM</t>
  </si>
  <si>
    <t>decimal (2.5% per bed)</t>
  </si>
  <si>
    <t>MES_MAX_BEDS</t>
  </si>
  <si>
    <t>MES_PRICE</t>
  </si>
  <si>
    <t>MES_HRS</t>
  </si>
  <si>
    <t>MES_FERT</t>
  </si>
  <si>
    <t>MES_DIM</t>
  </si>
  <si>
    <t>decimal (1.25% per bed)</t>
  </si>
  <si>
    <t>Farm P&amp;L — season results at the current bed mix</t>
  </si>
  <si>
    <t>By crop</t>
  </si>
  <si>
    <t>Crop</t>
  </si>
  <si>
    <t>Beds</t>
  </si>
  <si>
    <t>Price USD/bed</t>
  </si>
  <si>
    <t>Revenue USD</t>
  </si>
  <si>
    <t>Labor hours</t>
  </si>
  <si>
    <t>Fertilizer USD</t>
  </si>
  <si>
    <t>Allocated labor USD</t>
  </si>
  <si>
    <t>Tomatoes</t>
  </si>
  <si>
    <t>Carrots</t>
  </si>
  <si>
    <t>Mesclun</t>
  </si>
  <si>
    <t>Total</t>
  </si>
  <si>
    <t>Labor</t>
  </si>
  <si>
    <t>TOTAL_LABOR_HRS</t>
  </si>
  <si>
    <t>hours</t>
  </si>
  <si>
    <t>FARMER_HRS_USED</t>
  </si>
  <si>
    <t>TEMP_LABOR_HRS</t>
  </si>
  <si>
    <t>TEMP_WORKERS_NEEDED</t>
  </si>
  <si>
    <t>FARMER_LABOR_COST</t>
  </si>
  <si>
    <t>USD</t>
  </si>
  <si>
    <t>TEMP_LABOR_COST</t>
  </si>
  <si>
    <t>TOTAL_LABOR_COST</t>
  </si>
  <si>
    <t>BLENDED_LABOR_RATE</t>
  </si>
  <si>
    <t>Revenue, cost and profit</t>
  </si>
  <si>
    <t>TOTAL_REVENUE</t>
  </si>
  <si>
    <t>TOTAL_FERT_COST</t>
  </si>
  <si>
    <t>VARIABLE_COSTS</t>
  </si>
  <si>
    <t>FIXED_COSTS_APPLIED</t>
  </si>
  <si>
    <t>TOTAL_COSTS</t>
  </si>
  <si>
    <t>PROFIT</t>
  </si>
  <si>
    <t>TOTAL_BEDS</t>
  </si>
  <si>
    <t>UNUSED_BEDS</t>
  </si>
  <si>
    <t>Marginal Analysis — standalone marginal-cost schedules</t>
  </si>
  <si>
    <t>Each crop is evaluated independently with the other two crop quantities set to zero. The reported P = MC crossing is the last whole-number bed at which marginal cost is at or below market price before marginal cost first exceeds market price, scanning upward from zero beds.</t>
  </si>
  <si>
    <t>Tomatoes — standalone schedule</t>
  </si>
  <si>
    <t>Beds q</t>
  </si>
  <si>
    <t>Farmer hrs</t>
  </si>
  <si>
    <t>Temp hrs</t>
  </si>
  <si>
    <t>Labor cost USD</t>
  </si>
  <si>
    <t>Variable cost USD</t>
  </si>
  <si>
    <t>Marginal cost USD</t>
  </si>
  <si>
    <t>MC vs Price</t>
  </si>
  <si>
    <t>MC &gt; P flag</t>
  </si>
  <si>
    <t>MC below prior bed</t>
  </si>
  <si>
    <t>Reported P = MC crossing (beds)</t>
  </si>
  <si>
    <t>Beds where MC falls below the prior bed</t>
  </si>
  <si>
    <t>Carrots — standalone schedule</t>
  </si>
  <si>
    <t>Mesclun — standalone schedule</t>
  </si>
  <si>
    <t>Optimization — decision cells, objective, constraints</t>
  </si>
  <si>
    <t>Solver parameters are entered in Excel (Data &gt; Solver); the Solver model cannot be embedded by the generator.</t>
  </si>
  <si>
    <t>Decision cells (Solver changing cells)</t>
  </si>
  <si>
    <t>TOM_BEDS</t>
  </si>
  <si>
    <t>CAR_BEDS</t>
  </si>
  <si>
    <t>MES_BEDS</t>
  </si>
  <si>
    <t>Objective</t>
  </si>
  <si>
    <t>Maximize PROFIT</t>
  </si>
  <si>
    <t>Solver configuration (enter in Data &gt; Solver)</t>
  </si>
  <si>
    <t>Set Objective</t>
  </si>
  <si>
    <t>To</t>
  </si>
  <si>
    <t>Max</t>
  </si>
  <si>
    <t>By Changing Variable Cells</t>
  </si>
  <si>
    <t>TOM_BEDS, CAR_BEDS, MES_BEDS</t>
  </si>
  <si>
    <t>Solving Method</t>
  </si>
  <si>
    <t>GRG Nonlinear</t>
  </si>
  <si>
    <t>Integer decisions</t>
  </si>
  <si>
    <t>TOM_BEDS, CAR_BEDS, MES_BEDS = integer</t>
  </si>
  <si>
    <t>Constraints</t>
  </si>
  <si>
    <t>Constraint</t>
  </si>
  <si>
    <t>Left side</t>
  </si>
  <si>
    <t>Relation</t>
  </si>
  <si>
    <t>Right side</t>
  </si>
  <si>
    <t>Status</t>
  </si>
  <si>
    <t>TOM_BEDS &gt;= 0</t>
  </si>
  <si>
    <t>&gt;=</t>
  </si>
  <si>
    <t>TOM_BEDS &lt;= TOM_MAX_BEDS</t>
  </si>
  <si>
    <t>&lt;=</t>
  </si>
  <si>
    <t>CAR_BEDS &gt;= 0</t>
  </si>
  <si>
    <t>CAR_BEDS &lt;= CAR_MAX_BEDS</t>
  </si>
  <si>
    <t>MES_BEDS &gt;= 0</t>
  </si>
  <si>
    <t>MES_BEDS &lt;= MES_MAX_BEDS</t>
  </si>
  <si>
    <t>Total beds &lt;= MAX_TOTAL_BEDS</t>
  </si>
  <si>
    <t>TEMP_WORKERS_NEEDED &lt;= MAX_TEMP_WORKERS</t>
  </si>
  <si>
    <t>Bed counts are whole numbers</t>
  </si>
  <si>
    <t>All constraints</t>
  </si>
  <si>
    <t>Checks — hand-checks, acceptance criteria, structural checks</t>
  </si>
  <si>
    <t>Published check figures below are acceptance targets. They are not referenced by any calculation on the Inputs, Farm P&amp;L, Marginal Analysis or Optimization sheets.</t>
  </si>
  <si>
    <t>Labor formula hand-checks</t>
  </si>
  <si>
    <t>Check</t>
  </si>
  <si>
    <t>Model value</t>
  </si>
  <si>
    <t>Expected</t>
  </si>
  <si>
    <t>Tolerance</t>
  </si>
  <si>
    <t>Result</t>
  </si>
  <si>
    <t>q = 1 tomato bed: 1 x 2.5 x 36 x 1.10</t>
  </si>
  <si>
    <t>q = 10 tomato beds: 10 x 2.5 x 36 x 1.10^10</t>
  </si>
  <si>
    <t>Published acceptance criteria (targets, not model inputs)</t>
  </si>
  <si>
    <t>Tomato beds</t>
  </si>
  <si>
    <t>Exact</t>
  </si>
  <si>
    <t>Carrot beds</t>
  </si>
  <si>
    <t>Mesclun beds</t>
  </si>
  <si>
    <t>Total beds planted</t>
  </si>
  <si>
    <t>Total labor hours at the optimal mix</t>
  </si>
  <si>
    <t>Temporary workers required at the optimal mix</t>
  </si>
  <si>
    <t>Season profit USD</t>
  </si>
  <si>
    <t>Standalone Tomato P = MC (beds)</t>
  </si>
  <si>
    <t>Standalone Carrot P = MC (beds)</t>
  </si>
  <si>
    <t>Standalone Mesclun P = MC (beds)</t>
  </si>
  <si>
    <t>Structural checks</t>
  </si>
  <si>
    <t>No error values on Marginal Analysis</t>
  </si>
  <si>
    <t>No error values on Farm P&amp;L</t>
  </si>
  <si>
    <t>No error values on Optimization</t>
  </si>
  <si>
    <t>Blended labor rate defined at zero beds (no #DIV/0!)</t>
  </si>
  <si>
    <t>All land, crop-cap and labor constraints satisfied</t>
  </si>
  <si>
    <t>Bed counts are integers</t>
  </si>
  <si>
    <t>Labor identity: farmer hrs + temp hrs = total hrs</t>
  </si>
  <si>
    <t>Cost identity: variable + fixed = total costs</t>
  </si>
  <si>
    <t>Revenue identity: crop revenue sums to total</t>
  </si>
  <si>
    <t>Marginal-cost shape (observation only — not explained here)</t>
  </si>
  <si>
    <t>Solver starting-point check (record after each Solver run)</t>
  </si>
  <si>
    <t>Starting point</t>
  </si>
  <si>
    <t>Profit USD</t>
  </si>
  <si>
    <t>0 / 0 / 0</t>
  </si>
  <si>
    <t>20 / 0 / 0</t>
  </si>
  <si>
    <t>Farm Profit Lab cross-check and the Solver starting-point comparison are performed manually and recorded in the Audit Findings section of spec.md.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</si>
</sst>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0.00000000"/>
    <numFmt numFmtId="165" formatCode="0.0000"/>
    <numFmt numFmtId="166" formatCode="#,##0.0000"/>
  </numFmts>
  <fonts count="5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1"/>
      <name val="Menlo"/>
      <family val="2"/>
    </font>
  </fonts>
  <fills count="4">
    <fill>
      <patternFill patternType="none"/>
    </fill>
    <fill>
      <patternFill patternType="gray125"/>
    </fill>
    <fill>
      <patternFill patternType="solid">
        <fgColor rgb="FFDDE5EE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/>
    <xf numFmtId="0" fontId="4" fillId="0" borderId="1" xfId="0" applyFont="1" applyBorder="1"/>
    <xf numFmtId="3" fontId="0" fillId="0" borderId="1" xfId="0" applyNumberForma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0" fontId="3" fillId="3" borderId="0" xfId="0" applyFont="1" applyFill="1"/>
    <xf numFmtId="4" fontId="0" fillId="0" borderId="1" xfId="0" applyNumberFormat="1" applyBorder="1"/>
    <xf numFmtId="166" fontId="0" fillId="0" borderId="1" xfId="0" applyNumberFormat="1" applyBorder="1"/>
    <xf numFmtId="0" fontId="3" fillId="0" borderId="1" xfId="0" applyFont="1" applyBorder="1"/>
    <xf numFmtId="3" fontId="3" fillId="0" borderId="1" xfId="0" applyNumberFormat="1" applyFont="1" applyBorder="1"/>
    <xf numFmtId="4" fontId="3" fillId="0" borderId="1" xfId="0" applyNumberFormat="1" applyFont="1" applyBorder="1"/>
    <xf numFmtId="166" fontId="3" fillId="0" borderId="1" xfId="0" applyNumberFormat="1" applyFont="1" applyBorder="1"/>
    <xf numFmtId="0" fontId="3" fillId="0" borderId="0" xfId="0" applyFont="1"/>
    <xf numFmtId="3" fontId="0" fillId="0" borderId="0" xfId="0" applyNumberFormat="1"/>
    <xf numFmtId="4" fontId="0" fillId="0" borderId="0" xfId="0" applyNumberFormat="1"/>
    <xf numFmtId="8" fontId="0" fillId="0" borderId="1" xfId="0" applyNumberFormat="1" applyBorder="1"/>
  </cellXfs>
  <cellStyles count="1">
    <cellStyle name="Normal" xfId="0" builtinId="0"/>
  </cellStyles>
  <dxfs count="10"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  <dxf>
      <font>
        <b/>
        <color rgb="FF9C0006"/>
      </font>
      <fill>
        <patternFill patternType="solid">
          <fgColor rgb="FFFFC7CE"/>
          <bgColor rgb="FFFFC7CE"/>
        </patternFill>
      </fill>
    </dxf>
    <dxf>
      <font>
        <b/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4" customWidth="1"/>
    <col min="2" max="2" width="18" customWidth="1"/>
    <col min="3" max="3" width="26" customWidth="1"/>
    <col min="4" max="4" width="46" customWidth="1"/>
  </cols>
  <sheetData>
    <row r="1" spans="1:4" ht="17" x14ac:dyDescent="0.2">
      <c r="A1" s="1" t="s">
        <v>0</v>
      </c>
    </row>
    <row r="2" spans="1:4" x14ac:dyDescent="0.2">
      <c r="A2" s="2" t="s">
        <v>1</v>
      </c>
    </row>
    <row r="4" spans="1:4" x14ac:dyDescent="0.2">
      <c r="A4" s="3" t="s">
        <v>2</v>
      </c>
      <c r="B4" s="3" t="s">
        <v>3</v>
      </c>
      <c r="C4" s="3" t="s">
        <v>4</v>
      </c>
      <c r="D4" s="3" t="s">
        <v>5</v>
      </c>
    </row>
    <row r="5" spans="1:4" x14ac:dyDescent="0.2">
      <c r="A5" s="4" t="s">
        <v>6</v>
      </c>
      <c r="B5" s="5">
        <v>36</v>
      </c>
      <c r="C5" s="6" t="s">
        <v>7</v>
      </c>
      <c r="D5" s="6" t="s">
        <v>8</v>
      </c>
    </row>
    <row r="6" spans="1:4" x14ac:dyDescent="0.2">
      <c r="A6" s="4" t="s">
        <v>9</v>
      </c>
      <c r="B6" s="5">
        <v>20000</v>
      </c>
      <c r="C6" s="6" t="s">
        <v>10</v>
      </c>
      <c r="D6" s="6" t="s">
        <v>8</v>
      </c>
    </row>
    <row r="7" spans="1:4" x14ac:dyDescent="0.2">
      <c r="A7" s="4" t="s">
        <v>11</v>
      </c>
      <c r="B7" s="5">
        <v>64</v>
      </c>
      <c r="C7" s="6" t="s">
        <v>12</v>
      </c>
      <c r="D7" s="6" t="s">
        <v>8</v>
      </c>
    </row>
    <row r="8" spans="1:4" x14ac:dyDescent="0.2">
      <c r="A8" s="4" t="s">
        <v>13</v>
      </c>
      <c r="B8" s="5">
        <v>720</v>
      </c>
      <c r="C8" s="6" t="s">
        <v>14</v>
      </c>
      <c r="D8" s="6" t="s">
        <v>8</v>
      </c>
    </row>
    <row r="9" spans="1:4" x14ac:dyDescent="0.2">
      <c r="A9" s="4" t="s">
        <v>15</v>
      </c>
      <c r="B9" s="5">
        <v>50000</v>
      </c>
      <c r="C9" s="6" t="s">
        <v>10</v>
      </c>
      <c r="D9" s="6" t="s">
        <v>8</v>
      </c>
    </row>
    <row r="10" spans="1:4" x14ac:dyDescent="0.2">
      <c r="A10" s="4" t="s">
        <v>16</v>
      </c>
      <c r="B10" s="5">
        <f>40*SEASON_WEEKS</f>
        <v>1440</v>
      </c>
      <c r="C10" s="6" t="s">
        <v>14</v>
      </c>
      <c r="D10" s="6" t="s">
        <v>17</v>
      </c>
    </row>
    <row r="11" spans="1:4" x14ac:dyDescent="0.2">
      <c r="A11" s="4" t="s">
        <v>18</v>
      </c>
      <c r="B11" s="7">
        <f>FARMER_SALARY/FARMER_PAID_HOURS</f>
        <v>34.722222222222221</v>
      </c>
      <c r="C11" s="6" t="s">
        <v>19</v>
      </c>
      <c r="D11" s="6" t="s">
        <v>20</v>
      </c>
    </row>
    <row r="12" spans="1:4" x14ac:dyDescent="0.2">
      <c r="A12" s="4" t="s">
        <v>21</v>
      </c>
      <c r="B12" s="5">
        <v>4</v>
      </c>
      <c r="C12" s="6" t="s">
        <v>22</v>
      </c>
      <c r="D12" s="6" t="s">
        <v>8</v>
      </c>
    </row>
    <row r="13" spans="1:4" x14ac:dyDescent="0.2">
      <c r="A13" s="4" t="s">
        <v>23</v>
      </c>
      <c r="B13" s="5">
        <v>1440</v>
      </c>
      <c r="C13" s="6" t="s">
        <v>14</v>
      </c>
      <c r="D13" s="6" t="s">
        <v>8</v>
      </c>
    </row>
    <row r="14" spans="1:4" x14ac:dyDescent="0.2">
      <c r="A14" s="4" t="s">
        <v>24</v>
      </c>
      <c r="B14" s="5">
        <v>25000</v>
      </c>
      <c r="C14" s="6" t="s">
        <v>10</v>
      </c>
      <c r="D14" s="6" t="s">
        <v>8</v>
      </c>
    </row>
    <row r="15" spans="1:4" x14ac:dyDescent="0.2">
      <c r="A15" s="4" t="s">
        <v>25</v>
      </c>
      <c r="B15" s="7">
        <f>TEMP_SALARY/TEMP_HOURS_PER_WORKER</f>
        <v>17.361111111111111</v>
      </c>
      <c r="C15" s="6" t="s">
        <v>19</v>
      </c>
      <c r="D15" s="6" t="s">
        <v>20</v>
      </c>
    </row>
    <row r="16" spans="1:4" x14ac:dyDescent="0.2">
      <c r="A16" s="4" t="s">
        <v>26</v>
      </c>
      <c r="B16" s="5">
        <v>20</v>
      </c>
      <c r="C16" s="6" t="s">
        <v>12</v>
      </c>
      <c r="D16" s="6" t="s">
        <v>8</v>
      </c>
    </row>
    <row r="17" spans="1:4" x14ac:dyDescent="0.2">
      <c r="A17" s="4" t="s">
        <v>27</v>
      </c>
      <c r="B17" s="5">
        <v>8800</v>
      </c>
      <c r="C17" s="6" t="s">
        <v>28</v>
      </c>
      <c r="D17" s="6" t="s">
        <v>8</v>
      </c>
    </row>
    <row r="18" spans="1:4" x14ac:dyDescent="0.2">
      <c r="A18" s="4" t="s">
        <v>29</v>
      </c>
      <c r="B18" s="8">
        <v>2.5</v>
      </c>
      <c r="C18" s="6" t="s">
        <v>30</v>
      </c>
      <c r="D18" s="6" t="s">
        <v>8</v>
      </c>
    </row>
    <row r="19" spans="1:4" x14ac:dyDescent="0.2">
      <c r="A19" s="4" t="s">
        <v>31</v>
      </c>
      <c r="B19" s="5">
        <v>880</v>
      </c>
      <c r="C19" s="6" t="s">
        <v>28</v>
      </c>
      <c r="D19" s="6" t="s">
        <v>8</v>
      </c>
    </row>
    <row r="20" spans="1:4" x14ac:dyDescent="0.2">
      <c r="A20" s="4" t="s">
        <v>32</v>
      </c>
      <c r="B20" s="8">
        <v>0.1</v>
      </c>
      <c r="C20" s="6" t="s">
        <v>33</v>
      </c>
      <c r="D20" s="6" t="s">
        <v>8</v>
      </c>
    </row>
    <row r="21" spans="1:4" x14ac:dyDescent="0.2">
      <c r="A21" s="4" t="s">
        <v>34</v>
      </c>
      <c r="B21" s="5">
        <v>20</v>
      </c>
      <c r="C21" s="6" t="s">
        <v>12</v>
      </c>
      <c r="D21" s="6" t="s">
        <v>8</v>
      </c>
    </row>
    <row r="22" spans="1:4" x14ac:dyDescent="0.2">
      <c r="A22" s="4" t="s">
        <v>35</v>
      </c>
      <c r="B22" s="5">
        <v>2094</v>
      </c>
      <c r="C22" s="6" t="s">
        <v>28</v>
      </c>
      <c r="D22" s="6" t="s">
        <v>8</v>
      </c>
    </row>
    <row r="23" spans="1:4" x14ac:dyDescent="0.2">
      <c r="A23" s="4" t="s">
        <v>36</v>
      </c>
      <c r="B23" s="8">
        <f>TOM_HRS/3</f>
        <v>0.83333333333333337</v>
      </c>
      <c r="C23" s="6" t="s">
        <v>30</v>
      </c>
      <c r="D23" s="6" t="s">
        <v>37</v>
      </c>
    </row>
    <row r="24" spans="1:4" x14ac:dyDescent="0.2">
      <c r="A24" s="4" t="s">
        <v>38</v>
      </c>
      <c r="B24" s="5">
        <v>440</v>
      </c>
      <c r="C24" s="6" t="s">
        <v>28</v>
      </c>
      <c r="D24" s="6" t="s">
        <v>8</v>
      </c>
    </row>
    <row r="25" spans="1:4" x14ac:dyDescent="0.2">
      <c r="A25" s="4" t="s">
        <v>39</v>
      </c>
      <c r="B25" s="8">
        <v>2.5000000000000001E-2</v>
      </c>
      <c r="C25" s="6" t="s">
        <v>40</v>
      </c>
      <c r="D25" s="6" t="s">
        <v>8</v>
      </c>
    </row>
    <row r="26" spans="1:4" x14ac:dyDescent="0.2">
      <c r="A26" s="4" t="s">
        <v>41</v>
      </c>
      <c r="B26" s="5">
        <v>30</v>
      </c>
      <c r="C26" s="6" t="s">
        <v>12</v>
      </c>
      <c r="D26" s="6" t="s">
        <v>8</v>
      </c>
    </row>
    <row r="27" spans="1:4" x14ac:dyDescent="0.2">
      <c r="A27" s="4" t="s">
        <v>42</v>
      </c>
      <c r="B27" s="5">
        <v>2700</v>
      </c>
      <c r="C27" s="6" t="s">
        <v>28</v>
      </c>
      <c r="D27" s="6" t="s">
        <v>8</v>
      </c>
    </row>
    <row r="28" spans="1:4" x14ac:dyDescent="0.2">
      <c r="A28" s="4" t="s">
        <v>43</v>
      </c>
      <c r="B28" s="8">
        <v>1.25</v>
      </c>
      <c r="C28" s="6" t="s">
        <v>30</v>
      </c>
      <c r="D28" s="6" t="s">
        <v>8</v>
      </c>
    </row>
    <row r="29" spans="1:4" x14ac:dyDescent="0.2">
      <c r="A29" s="4" t="s">
        <v>44</v>
      </c>
      <c r="B29" s="5">
        <v>880</v>
      </c>
      <c r="C29" s="6" t="s">
        <v>28</v>
      </c>
      <c r="D29" s="6" t="s">
        <v>8</v>
      </c>
    </row>
    <row r="30" spans="1:4" x14ac:dyDescent="0.2">
      <c r="A30" s="4" t="s">
        <v>45</v>
      </c>
      <c r="B30" s="8">
        <v>1.2500000000000001E-2</v>
      </c>
      <c r="C30" s="6" t="s">
        <v>46</v>
      </c>
      <c r="D30" s="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"/>
  <sheetViews>
    <sheetView workbookViewId="0"/>
  </sheetViews>
  <sheetFormatPr baseColWidth="10" defaultColWidth="8.83203125" defaultRowHeight="15" x14ac:dyDescent="0.2"/>
  <cols>
    <col min="1" max="1" width="24" customWidth="1"/>
    <col min="2" max="2" width="20" customWidth="1"/>
    <col min="3" max="6" width="16" customWidth="1"/>
    <col min="7" max="7" width="20" customWidth="1"/>
  </cols>
  <sheetData>
    <row r="1" spans="1:7" ht="17" x14ac:dyDescent="0.2">
      <c r="A1" s="1" t="s">
        <v>47</v>
      </c>
    </row>
    <row r="3" spans="1:7" x14ac:dyDescent="0.2">
      <c r="A3" s="9" t="s">
        <v>48</v>
      </c>
    </row>
    <row r="4" spans="1:7" x14ac:dyDescent="0.2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3" t="s">
        <v>55</v>
      </c>
    </row>
    <row r="5" spans="1:7" x14ac:dyDescent="0.2">
      <c r="A5" s="6" t="s">
        <v>56</v>
      </c>
      <c r="B5" s="5">
        <f>TOM_BEDS</f>
        <v>10</v>
      </c>
      <c r="C5" s="5">
        <f>TOM_PRICE</f>
        <v>8800</v>
      </c>
      <c r="D5" s="10">
        <f>TOM_BEDS*TOM_PRICE</f>
        <v>88000</v>
      </c>
      <c r="E5" s="11">
        <f>TOM_BEDS*TOM_HRS*SEASON_WEEKS*(1+TOM_DIM)^TOM_BEDS</f>
        <v>2334.3682140900019</v>
      </c>
      <c r="F5" s="10">
        <f>TOM_BEDS*TOM_FERT</f>
        <v>8800</v>
      </c>
      <c r="G5" s="10">
        <f>E5*BLENDED_LABOR_RATE</f>
        <v>46056.581198400811</v>
      </c>
    </row>
    <row r="6" spans="1:7" x14ac:dyDescent="0.2">
      <c r="A6" s="6" t="s">
        <v>57</v>
      </c>
      <c r="B6" s="5">
        <f>CAR_BEDS</f>
        <v>20</v>
      </c>
      <c r="C6" s="5">
        <f>CAR_PRICE</f>
        <v>2094</v>
      </c>
      <c r="D6" s="10">
        <f>CAR_BEDS*CAR_PRICE</f>
        <v>41880</v>
      </c>
      <c r="E6" s="11">
        <f>CAR_BEDS*CAR_HRS*SEASON_WEEKS*(1+CAR_DIM)^CAR_BEDS</f>
        <v>983.16986417423732</v>
      </c>
      <c r="F6" s="10">
        <f>CAR_BEDS*CAR_FERT</f>
        <v>8800</v>
      </c>
      <c r="G6" s="10">
        <f>E6*BLENDED_LABOR_RATE</f>
        <v>19397.7292904553</v>
      </c>
    </row>
    <row r="7" spans="1:7" x14ac:dyDescent="0.2">
      <c r="A7" s="6" t="s">
        <v>58</v>
      </c>
      <c r="B7" s="5">
        <f>MES_BEDS</f>
        <v>30</v>
      </c>
      <c r="C7" s="5">
        <f>MES_PRICE</f>
        <v>2700</v>
      </c>
      <c r="D7" s="10">
        <f>MES_BEDS*MES_PRICE</f>
        <v>81000</v>
      </c>
      <c r="E7" s="11">
        <f>MES_BEDS*MES_HRS*SEASON_WEEKS*(1+MES_DIM)^MES_BEDS</f>
        <v>1959.6780360096488</v>
      </c>
      <c r="F7" s="10">
        <f>MES_BEDS*MES_FERT</f>
        <v>26400</v>
      </c>
      <c r="G7" s="10">
        <f>E7*BLENDED_LABOR_RATE</f>
        <v>38664.024828398891</v>
      </c>
    </row>
    <row r="8" spans="1:7" x14ac:dyDescent="0.2">
      <c r="A8" s="12" t="s">
        <v>59</v>
      </c>
      <c r="B8" s="13">
        <f>SUM(B5:B7)</f>
        <v>60</v>
      </c>
      <c r="C8" s="6"/>
      <c r="D8" s="14">
        <f>SUM(D5:D7)</f>
        <v>210880</v>
      </c>
      <c r="E8" s="15">
        <f>SUM(E5:E7)</f>
        <v>5277.2161142738878</v>
      </c>
      <c r="F8" s="14">
        <f>SUM(F5:F7)</f>
        <v>44000</v>
      </c>
      <c r="G8" s="14">
        <f>SUM(G5:G7)</f>
        <v>104118.335317255</v>
      </c>
    </row>
    <row r="10" spans="1:7" x14ac:dyDescent="0.2">
      <c r="A10" s="9" t="s">
        <v>60</v>
      </c>
    </row>
    <row r="11" spans="1:7" x14ac:dyDescent="0.2">
      <c r="A11" s="4" t="s">
        <v>61</v>
      </c>
      <c r="B11" s="11">
        <f>TOM_LABOR_HRS+CAR_LABOR_HRS+MES_LABOR_HRS</f>
        <v>5277.2161142738878</v>
      </c>
      <c r="C11" s="6" t="s">
        <v>62</v>
      </c>
    </row>
    <row r="12" spans="1:7" x14ac:dyDescent="0.2">
      <c r="A12" s="4" t="s">
        <v>63</v>
      </c>
      <c r="B12" s="11">
        <f>MIN(TOTAL_LABOR_HRS,FARMER_FIELD_HOURS)</f>
        <v>720</v>
      </c>
      <c r="C12" s="6" t="s">
        <v>62</v>
      </c>
    </row>
    <row r="13" spans="1:7" x14ac:dyDescent="0.2">
      <c r="A13" s="4" t="s">
        <v>64</v>
      </c>
      <c r="B13" s="11">
        <f>MAX(TOTAL_LABOR_HRS-FARMER_FIELD_HOURS,0)</f>
        <v>4557.2161142738878</v>
      </c>
      <c r="C13" s="6" t="s">
        <v>62</v>
      </c>
    </row>
    <row r="14" spans="1:7" x14ac:dyDescent="0.2">
      <c r="A14" s="4" t="s">
        <v>65</v>
      </c>
      <c r="B14" s="8">
        <f>TEMP_LABOR_HRS/TEMP_HOURS_PER_WORKER</f>
        <v>3.1647334126901998</v>
      </c>
      <c r="C14" s="6" t="s">
        <v>22</v>
      </c>
    </row>
    <row r="15" spans="1:7" x14ac:dyDescent="0.2">
      <c r="A15" s="4" t="s">
        <v>66</v>
      </c>
      <c r="B15" s="10">
        <f>FARMER_HRS_USED*FARMER_FIELD_RATE</f>
        <v>25000</v>
      </c>
      <c r="C15" s="6" t="s">
        <v>67</v>
      </c>
    </row>
    <row r="16" spans="1:7" x14ac:dyDescent="0.2">
      <c r="A16" s="4" t="s">
        <v>68</v>
      </c>
      <c r="B16" s="10">
        <f>TEMP_LABOR_HRS*TEMP_RATE</f>
        <v>79118.335317254998</v>
      </c>
      <c r="C16" s="6" t="s">
        <v>67</v>
      </c>
    </row>
    <row r="17" spans="1:3" x14ac:dyDescent="0.2">
      <c r="A17" s="4" t="s">
        <v>69</v>
      </c>
      <c r="B17" s="10">
        <f>FARMER_LABOR_COST+TEMP_LABOR_COST</f>
        <v>104118.335317255</v>
      </c>
      <c r="C17" s="6" t="s">
        <v>67</v>
      </c>
    </row>
    <row r="18" spans="1:3" x14ac:dyDescent="0.2">
      <c r="A18" s="4" t="s">
        <v>70</v>
      </c>
      <c r="B18" s="7">
        <f>IF(TOTAL_LABOR_HRS=0,0,TOTAL_LABOR_COST/TOTAL_LABOR_HRS)</f>
        <v>19.729784239010844</v>
      </c>
      <c r="C18" s="6" t="s">
        <v>19</v>
      </c>
    </row>
    <row r="20" spans="1:3" x14ac:dyDescent="0.2">
      <c r="A20" s="9" t="s">
        <v>71</v>
      </c>
    </row>
    <row r="21" spans="1:3" x14ac:dyDescent="0.2">
      <c r="A21" s="4" t="s">
        <v>72</v>
      </c>
      <c r="B21" s="10">
        <f>SUM(D5:D7)</f>
        <v>210880</v>
      </c>
      <c r="C21" s="6" t="s">
        <v>67</v>
      </c>
    </row>
    <row r="22" spans="1:3" x14ac:dyDescent="0.2">
      <c r="A22" s="4" t="s">
        <v>73</v>
      </c>
      <c r="B22" s="10">
        <f>SUM(F5:F7)</f>
        <v>44000</v>
      </c>
      <c r="C22" s="6" t="s">
        <v>67</v>
      </c>
    </row>
    <row r="23" spans="1:3" x14ac:dyDescent="0.2">
      <c r="A23" s="4" t="s">
        <v>74</v>
      </c>
      <c r="B23" s="10">
        <f>TOTAL_LABOR_COST+TOTAL_FERT_COST</f>
        <v>148118.335317255</v>
      </c>
      <c r="C23" s="6" t="s">
        <v>67</v>
      </c>
    </row>
    <row r="24" spans="1:3" x14ac:dyDescent="0.2">
      <c r="A24" s="4" t="s">
        <v>75</v>
      </c>
      <c r="B24" s="10">
        <f>FIXED_COSTS</f>
        <v>20000</v>
      </c>
      <c r="C24" s="6" t="s">
        <v>67</v>
      </c>
    </row>
    <row r="25" spans="1:3" x14ac:dyDescent="0.2">
      <c r="A25" s="4" t="s">
        <v>76</v>
      </c>
      <c r="B25" s="10">
        <f>VARIABLE_COSTS+FIXED_COSTS</f>
        <v>168118.335317255</v>
      </c>
      <c r="C25" s="6" t="s">
        <v>67</v>
      </c>
    </row>
    <row r="26" spans="1:3" x14ac:dyDescent="0.2">
      <c r="A26" s="4" t="s">
        <v>77</v>
      </c>
      <c r="B26" s="14">
        <f>TOTAL_REVENUE-TOTAL_COSTS</f>
        <v>42761.664682745002</v>
      </c>
      <c r="C26" s="6" t="s">
        <v>67</v>
      </c>
    </row>
    <row r="27" spans="1:3" x14ac:dyDescent="0.2">
      <c r="A27" s="4" t="s">
        <v>78</v>
      </c>
      <c r="B27" s="5">
        <f>TOM_BEDS+CAR_BEDS+MES_BEDS</f>
        <v>60</v>
      </c>
      <c r="C27" s="6" t="s">
        <v>12</v>
      </c>
    </row>
    <row r="28" spans="1:3" x14ac:dyDescent="0.2">
      <c r="A28" s="4" t="s">
        <v>79</v>
      </c>
      <c r="B28" s="5">
        <f>MAX_TOTAL_BEDS-TOTAL_BEDS</f>
        <v>4</v>
      </c>
      <c r="C28" s="6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2"/>
  <sheetViews>
    <sheetView workbookViewId="0"/>
  </sheetViews>
  <sheetFormatPr baseColWidth="10" defaultColWidth="8.83203125" defaultRowHeight="15" x14ac:dyDescent="0.2"/>
  <cols>
    <col min="1" max="1" width="9" customWidth="1"/>
    <col min="2" max="2" width="14" customWidth="1"/>
    <col min="3" max="4" width="12" customWidth="1"/>
    <col min="5" max="5" width="16" customWidth="1"/>
    <col min="6" max="6" width="15" customWidth="1"/>
    <col min="7" max="8" width="18" customWidth="1"/>
    <col min="9" max="9" width="14" customWidth="1"/>
    <col min="10" max="11" width="12" customWidth="1"/>
    <col min="12" max="12" width="18" customWidth="1"/>
  </cols>
  <sheetData>
    <row r="1" spans="1:12" ht="17" x14ac:dyDescent="0.2">
      <c r="A1" s="1" t="s">
        <v>80</v>
      </c>
    </row>
    <row r="2" spans="1:12" x14ac:dyDescent="0.2">
      <c r="A2" s="2" t="s">
        <v>81</v>
      </c>
    </row>
    <row r="4" spans="1:12" x14ac:dyDescent="0.2">
      <c r="A4" s="9" t="s">
        <v>82</v>
      </c>
    </row>
    <row r="5" spans="1:12" x14ac:dyDescent="0.2">
      <c r="A5" s="3" t="s">
        <v>83</v>
      </c>
      <c r="B5" s="3" t="s">
        <v>53</v>
      </c>
      <c r="C5" s="3" t="s">
        <v>84</v>
      </c>
      <c r="D5" s="3" t="s">
        <v>85</v>
      </c>
      <c r="E5" s="3" t="s">
        <v>86</v>
      </c>
      <c r="F5" s="3" t="s">
        <v>54</v>
      </c>
      <c r="G5" s="3" t="s">
        <v>87</v>
      </c>
      <c r="H5" s="3" t="s">
        <v>88</v>
      </c>
      <c r="I5" s="3" t="s">
        <v>51</v>
      </c>
      <c r="J5" s="3" t="s">
        <v>89</v>
      </c>
      <c r="K5" s="3" t="s">
        <v>90</v>
      </c>
      <c r="L5" s="3" t="s">
        <v>91</v>
      </c>
    </row>
    <row r="6" spans="1:12" x14ac:dyDescent="0.2">
      <c r="A6" s="5">
        <v>0</v>
      </c>
      <c r="B6" s="11">
        <f t="shared" ref="B6:B26" si="0">A6*TOM_HRS*SEASON_WEEKS*(1+TOM_DIM)^A6</f>
        <v>0</v>
      </c>
      <c r="C6" s="11">
        <f t="shared" ref="C6:C26" si="1">MIN(B6,FARMER_FIELD_HOURS)</f>
        <v>0</v>
      </c>
      <c r="D6" s="11">
        <f t="shared" ref="D6:D26" si="2">MAX(B6-FARMER_FIELD_HOURS,0)</f>
        <v>0</v>
      </c>
      <c r="E6" s="10">
        <f t="shared" ref="E6:E26" si="3">C6*FARMER_FIELD_RATE+D6*TEMP_RATE</f>
        <v>0</v>
      </c>
      <c r="F6" s="10">
        <f t="shared" ref="F6:F26" si="4">A6*TOM_FERT</f>
        <v>0</v>
      </c>
      <c r="G6" s="10">
        <f t="shared" ref="G6:G26" si="5">E6+F6</f>
        <v>0</v>
      </c>
      <c r="H6" s="6" t="str">
        <f>""</f>
        <v/>
      </c>
      <c r="I6" s="5">
        <f t="shared" ref="I6:I26" si="6">TOM_PRICE</f>
        <v>8800</v>
      </c>
      <c r="J6" s="6" t="str">
        <f>""</f>
        <v/>
      </c>
      <c r="K6" s="6" t="str">
        <f>""</f>
        <v/>
      </c>
      <c r="L6" s="6" t="str">
        <f>""</f>
        <v/>
      </c>
    </row>
    <row r="7" spans="1:12" x14ac:dyDescent="0.2">
      <c r="A7" s="5">
        <v>1</v>
      </c>
      <c r="B7" s="11">
        <f t="shared" si="0"/>
        <v>99.000000000000014</v>
      </c>
      <c r="C7" s="11">
        <f t="shared" si="1"/>
        <v>99.000000000000014</v>
      </c>
      <c r="D7" s="11">
        <f t="shared" si="2"/>
        <v>0</v>
      </c>
      <c r="E7" s="10">
        <f t="shared" si="3"/>
        <v>3437.5000000000005</v>
      </c>
      <c r="F7" s="10">
        <f t="shared" si="4"/>
        <v>880</v>
      </c>
      <c r="G7" s="10">
        <f t="shared" si="5"/>
        <v>4317.5</v>
      </c>
      <c r="H7" s="10">
        <f t="shared" ref="H7:H26" si="7">G7-G6</f>
        <v>4317.5</v>
      </c>
      <c r="I7" s="5">
        <f t="shared" si="6"/>
        <v>8800</v>
      </c>
      <c r="J7" s="6" t="str">
        <f t="shared" ref="J7:J26" si="8">IF(H7&lt;=I7,"MC &lt;= P","MC &gt; P")</f>
        <v>MC &lt;= P</v>
      </c>
      <c r="K7" s="5">
        <f t="shared" ref="K7:K26" si="9">IF(H7&gt;I7,1,0)</f>
        <v>0</v>
      </c>
      <c r="L7" s="5" t="str">
        <f>""</f>
        <v/>
      </c>
    </row>
    <row r="8" spans="1:12" x14ac:dyDescent="0.2">
      <c r="A8" s="5">
        <v>2</v>
      </c>
      <c r="B8" s="11">
        <f t="shared" si="0"/>
        <v>217.80000000000004</v>
      </c>
      <c r="C8" s="11">
        <f t="shared" si="1"/>
        <v>217.80000000000004</v>
      </c>
      <c r="D8" s="11">
        <f t="shared" si="2"/>
        <v>0</v>
      </c>
      <c r="E8" s="10">
        <f t="shared" si="3"/>
        <v>7562.5000000000009</v>
      </c>
      <c r="F8" s="10">
        <f t="shared" si="4"/>
        <v>1760</v>
      </c>
      <c r="G8" s="10">
        <f t="shared" si="5"/>
        <v>9322.5</v>
      </c>
      <c r="H8" s="10">
        <f t="shared" si="7"/>
        <v>5005</v>
      </c>
      <c r="I8" s="5">
        <f t="shared" si="6"/>
        <v>8800</v>
      </c>
      <c r="J8" s="6" t="str">
        <f t="shared" si="8"/>
        <v>MC &lt;= P</v>
      </c>
      <c r="K8" s="5">
        <f t="shared" si="9"/>
        <v>0</v>
      </c>
      <c r="L8" s="5">
        <f t="shared" ref="L8:L26" si="10">IF(H8&lt;H7,1,0)</f>
        <v>0</v>
      </c>
    </row>
    <row r="9" spans="1:12" x14ac:dyDescent="0.2">
      <c r="A9" s="5">
        <v>3</v>
      </c>
      <c r="B9" s="11">
        <f t="shared" si="0"/>
        <v>359.37000000000012</v>
      </c>
      <c r="C9" s="11">
        <f t="shared" si="1"/>
        <v>359.37000000000012</v>
      </c>
      <c r="D9" s="11">
        <f t="shared" si="2"/>
        <v>0</v>
      </c>
      <c r="E9" s="10">
        <f t="shared" si="3"/>
        <v>12478.125000000004</v>
      </c>
      <c r="F9" s="10">
        <f t="shared" si="4"/>
        <v>2640</v>
      </c>
      <c r="G9" s="10">
        <f t="shared" si="5"/>
        <v>15118.125000000004</v>
      </c>
      <c r="H9" s="10">
        <f t="shared" si="7"/>
        <v>5795.6250000000036</v>
      </c>
      <c r="I9" s="5">
        <f t="shared" si="6"/>
        <v>8800</v>
      </c>
      <c r="J9" s="6" t="str">
        <f t="shared" si="8"/>
        <v>MC &lt;= P</v>
      </c>
      <c r="K9" s="5">
        <f t="shared" si="9"/>
        <v>0</v>
      </c>
      <c r="L9" s="5">
        <f t="shared" si="10"/>
        <v>0</v>
      </c>
    </row>
    <row r="10" spans="1:12" x14ac:dyDescent="0.2">
      <c r="A10" s="5">
        <v>4</v>
      </c>
      <c r="B10" s="11">
        <f t="shared" si="0"/>
        <v>527.07600000000014</v>
      </c>
      <c r="C10" s="11">
        <f t="shared" si="1"/>
        <v>527.07600000000014</v>
      </c>
      <c r="D10" s="11">
        <f t="shared" si="2"/>
        <v>0</v>
      </c>
      <c r="E10" s="10">
        <f t="shared" si="3"/>
        <v>18301.250000000004</v>
      </c>
      <c r="F10" s="10">
        <f t="shared" si="4"/>
        <v>3520</v>
      </c>
      <c r="G10" s="10">
        <f t="shared" si="5"/>
        <v>21821.250000000004</v>
      </c>
      <c r="H10" s="10">
        <f t="shared" si="7"/>
        <v>6703.125</v>
      </c>
      <c r="I10" s="5">
        <f t="shared" si="6"/>
        <v>8800</v>
      </c>
      <c r="J10" s="6" t="str">
        <f t="shared" si="8"/>
        <v>MC &lt;= P</v>
      </c>
      <c r="K10" s="5">
        <f t="shared" si="9"/>
        <v>0</v>
      </c>
      <c r="L10" s="5">
        <f t="shared" si="10"/>
        <v>0</v>
      </c>
    </row>
    <row r="11" spans="1:12" x14ac:dyDescent="0.2">
      <c r="A11" s="5">
        <v>5</v>
      </c>
      <c r="B11" s="11">
        <f t="shared" si="0"/>
        <v>724.72950000000026</v>
      </c>
      <c r="C11" s="11">
        <f t="shared" si="1"/>
        <v>720</v>
      </c>
      <c r="D11" s="11">
        <f t="shared" si="2"/>
        <v>4.7295000000002574</v>
      </c>
      <c r="E11" s="10">
        <f t="shared" si="3"/>
        <v>25082.109375000004</v>
      </c>
      <c r="F11" s="10">
        <f t="shared" si="4"/>
        <v>4400</v>
      </c>
      <c r="G11" s="10">
        <f t="shared" si="5"/>
        <v>29482.109375000004</v>
      </c>
      <c r="H11" s="10">
        <f t="shared" si="7"/>
        <v>7660.859375</v>
      </c>
      <c r="I11" s="5">
        <f t="shared" si="6"/>
        <v>8800</v>
      </c>
      <c r="J11" s="6" t="str">
        <f t="shared" si="8"/>
        <v>MC &lt;= P</v>
      </c>
      <c r="K11" s="5">
        <f t="shared" si="9"/>
        <v>0</v>
      </c>
      <c r="L11" s="5">
        <f t="shared" si="10"/>
        <v>0</v>
      </c>
    </row>
    <row r="12" spans="1:12" x14ac:dyDescent="0.2">
      <c r="A12" s="5">
        <v>6</v>
      </c>
      <c r="B12" s="11">
        <f t="shared" si="0"/>
        <v>956.64294000000041</v>
      </c>
      <c r="C12" s="11">
        <f t="shared" si="1"/>
        <v>720</v>
      </c>
      <c r="D12" s="11">
        <f t="shared" si="2"/>
        <v>236.64294000000041</v>
      </c>
      <c r="E12" s="10">
        <f t="shared" si="3"/>
        <v>29108.384375000009</v>
      </c>
      <c r="F12" s="10">
        <f t="shared" si="4"/>
        <v>5280</v>
      </c>
      <c r="G12" s="10">
        <f t="shared" si="5"/>
        <v>34388.384375000009</v>
      </c>
      <c r="H12" s="10">
        <f t="shared" si="7"/>
        <v>4906.2750000000051</v>
      </c>
      <c r="I12" s="5">
        <f t="shared" si="6"/>
        <v>8800</v>
      </c>
      <c r="J12" s="6" t="str">
        <f t="shared" si="8"/>
        <v>MC &lt;= P</v>
      </c>
      <c r="K12" s="5">
        <f t="shared" si="9"/>
        <v>0</v>
      </c>
      <c r="L12" s="5">
        <f t="shared" si="10"/>
        <v>1</v>
      </c>
    </row>
    <row r="13" spans="1:12" x14ac:dyDescent="0.2">
      <c r="A13" s="5">
        <v>7</v>
      </c>
      <c r="B13" s="11">
        <f t="shared" si="0"/>
        <v>1227.6917730000007</v>
      </c>
      <c r="C13" s="11">
        <f t="shared" si="1"/>
        <v>720</v>
      </c>
      <c r="D13" s="11">
        <f t="shared" si="2"/>
        <v>507.69177300000069</v>
      </c>
      <c r="E13" s="10">
        <f t="shared" si="3"/>
        <v>33814.09328125001</v>
      </c>
      <c r="F13" s="10">
        <f t="shared" si="4"/>
        <v>6160</v>
      </c>
      <c r="G13" s="10">
        <f t="shared" si="5"/>
        <v>39974.09328125001</v>
      </c>
      <c r="H13" s="10">
        <f t="shared" si="7"/>
        <v>5585.7089062500017</v>
      </c>
      <c r="I13" s="5">
        <f t="shared" si="6"/>
        <v>8800</v>
      </c>
      <c r="J13" s="6" t="str">
        <f t="shared" si="8"/>
        <v>MC &lt;= P</v>
      </c>
      <c r="K13" s="5">
        <f t="shared" si="9"/>
        <v>0</v>
      </c>
      <c r="L13" s="5">
        <f t="shared" si="10"/>
        <v>0</v>
      </c>
    </row>
    <row r="14" spans="1:12" x14ac:dyDescent="0.2">
      <c r="A14" s="5">
        <v>8</v>
      </c>
      <c r="B14" s="11">
        <f t="shared" si="0"/>
        <v>1543.3839432000009</v>
      </c>
      <c r="C14" s="11">
        <f t="shared" si="1"/>
        <v>720</v>
      </c>
      <c r="D14" s="11">
        <f t="shared" si="2"/>
        <v>823.38394320000089</v>
      </c>
      <c r="E14" s="10">
        <f t="shared" si="3"/>
        <v>39294.860125000014</v>
      </c>
      <c r="F14" s="10">
        <f t="shared" si="4"/>
        <v>7040</v>
      </c>
      <c r="G14" s="10">
        <f t="shared" si="5"/>
        <v>46334.860125000014</v>
      </c>
      <c r="H14" s="10">
        <f t="shared" si="7"/>
        <v>6360.7668437500033</v>
      </c>
      <c r="I14" s="5">
        <f t="shared" si="6"/>
        <v>8800</v>
      </c>
      <c r="J14" s="6" t="str">
        <f t="shared" si="8"/>
        <v>MC &lt;= P</v>
      </c>
      <c r="K14" s="5">
        <f t="shared" si="9"/>
        <v>0</v>
      </c>
      <c r="L14" s="5">
        <f t="shared" si="10"/>
        <v>0</v>
      </c>
    </row>
    <row r="15" spans="1:12" x14ac:dyDescent="0.2">
      <c r="A15" s="5">
        <v>9</v>
      </c>
      <c r="B15" s="11">
        <f t="shared" si="0"/>
        <v>1909.9376297100011</v>
      </c>
      <c r="C15" s="11">
        <f t="shared" si="1"/>
        <v>720</v>
      </c>
      <c r="D15" s="11">
        <f t="shared" si="2"/>
        <v>1189.9376297100011</v>
      </c>
      <c r="E15" s="10">
        <f t="shared" si="3"/>
        <v>45658.639404687521</v>
      </c>
      <c r="F15" s="10">
        <f t="shared" si="4"/>
        <v>7920</v>
      </c>
      <c r="G15" s="10">
        <f t="shared" si="5"/>
        <v>53578.639404687521</v>
      </c>
      <c r="H15" s="10">
        <f t="shared" si="7"/>
        <v>7243.7792796875074</v>
      </c>
      <c r="I15" s="5">
        <f t="shared" si="6"/>
        <v>8800</v>
      </c>
      <c r="J15" s="6" t="str">
        <f t="shared" si="8"/>
        <v>MC &lt;= P</v>
      </c>
      <c r="K15" s="5">
        <f t="shared" si="9"/>
        <v>0</v>
      </c>
      <c r="L15" s="5">
        <f t="shared" si="10"/>
        <v>0</v>
      </c>
    </row>
    <row r="16" spans="1:12" x14ac:dyDescent="0.2">
      <c r="A16" s="5">
        <v>10</v>
      </c>
      <c r="B16" s="11">
        <f t="shared" si="0"/>
        <v>2334.3682140900019</v>
      </c>
      <c r="C16" s="11">
        <f t="shared" si="1"/>
        <v>720</v>
      </c>
      <c r="D16" s="11">
        <f t="shared" si="2"/>
        <v>1614.3682140900019</v>
      </c>
      <c r="E16" s="10">
        <f t="shared" si="3"/>
        <v>53027.225939062533</v>
      </c>
      <c r="F16" s="10">
        <f t="shared" si="4"/>
        <v>8800</v>
      </c>
      <c r="G16" s="10">
        <f t="shared" si="5"/>
        <v>61827.225939062533</v>
      </c>
      <c r="H16" s="10">
        <f t="shared" si="7"/>
        <v>8248.586534375012</v>
      </c>
      <c r="I16" s="5">
        <f t="shared" si="6"/>
        <v>8800</v>
      </c>
      <c r="J16" s="6" t="str">
        <f t="shared" si="8"/>
        <v>MC &lt;= P</v>
      </c>
      <c r="K16" s="5">
        <f t="shared" si="9"/>
        <v>0</v>
      </c>
      <c r="L16" s="5">
        <f t="shared" si="10"/>
        <v>0</v>
      </c>
    </row>
    <row r="17" spans="1:12" x14ac:dyDescent="0.2">
      <c r="A17" s="5">
        <v>11</v>
      </c>
      <c r="B17" s="11">
        <f t="shared" si="0"/>
        <v>2824.5855390489023</v>
      </c>
      <c r="C17" s="11">
        <f t="shared" si="1"/>
        <v>720</v>
      </c>
      <c r="D17" s="11">
        <f t="shared" si="2"/>
        <v>2104.5855390489023</v>
      </c>
      <c r="E17" s="10">
        <f t="shared" si="3"/>
        <v>61537.943386265666</v>
      </c>
      <c r="F17" s="10">
        <f t="shared" si="4"/>
        <v>9680</v>
      </c>
      <c r="G17" s="10">
        <f t="shared" si="5"/>
        <v>71217.943386265659</v>
      </c>
      <c r="H17" s="10">
        <f t="shared" si="7"/>
        <v>9390.7174472031256</v>
      </c>
      <c r="I17" s="5">
        <f t="shared" si="6"/>
        <v>8800</v>
      </c>
      <c r="J17" s="6" t="str">
        <f t="shared" si="8"/>
        <v>MC &gt; P</v>
      </c>
      <c r="K17" s="5">
        <f t="shared" si="9"/>
        <v>1</v>
      </c>
      <c r="L17" s="5">
        <f t="shared" si="10"/>
        <v>0</v>
      </c>
    </row>
    <row r="18" spans="1:12" x14ac:dyDescent="0.2">
      <c r="A18" s="5">
        <v>12</v>
      </c>
      <c r="B18" s="11">
        <f t="shared" si="0"/>
        <v>3389.502646858683</v>
      </c>
      <c r="C18" s="11">
        <f t="shared" si="1"/>
        <v>720</v>
      </c>
      <c r="D18" s="11">
        <f t="shared" si="2"/>
        <v>2669.502646858683</v>
      </c>
      <c r="E18" s="10">
        <f t="shared" si="3"/>
        <v>71345.532063518796</v>
      </c>
      <c r="F18" s="10">
        <f t="shared" si="4"/>
        <v>10560</v>
      </c>
      <c r="G18" s="10">
        <f t="shared" si="5"/>
        <v>81905.532063518796</v>
      </c>
      <c r="H18" s="10">
        <f t="shared" si="7"/>
        <v>10687.588677253138</v>
      </c>
      <c r="I18" s="5">
        <f t="shared" si="6"/>
        <v>8800</v>
      </c>
      <c r="J18" s="6" t="str">
        <f t="shared" si="8"/>
        <v>MC &gt; P</v>
      </c>
      <c r="K18" s="5">
        <f t="shared" si="9"/>
        <v>1</v>
      </c>
      <c r="L18" s="5">
        <f t="shared" si="10"/>
        <v>0</v>
      </c>
    </row>
    <row r="19" spans="1:12" x14ac:dyDescent="0.2">
      <c r="A19" s="5">
        <v>13</v>
      </c>
      <c r="B19" s="11">
        <f t="shared" si="0"/>
        <v>4039.1573208399304</v>
      </c>
      <c r="C19" s="11">
        <f t="shared" si="1"/>
        <v>720</v>
      </c>
      <c r="D19" s="11">
        <f t="shared" si="2"/>
        <v>3319.1573208399304</v>
      </c>
      <c r="E19" s="10">
        <f t="shared" si="3"/>
        <v>82624.259042359903</v>
      </c>
      <c r="F19" s="10">
        <f t="shared" si="4"/>
        <v>11440</v>
      </c>
      <c r="G19" s="10">
        <f t="shared" si="5"/>
        <v>94064.259042359903</v>
      </c>
      <c r="H19" s="10">
        <f t="shared" si="7"/>
        <v>12158.726978841107</v>
      </c>
      <c r="I19" s="5">
        <f t="shared" si="6"/>
        <v>8800</v>
      </c>
      <c r="J19" s="6" t="str">
        <f t="shared" si="8"/>
        <v>MC &gt; P</v>
      </c>
      <c r="K19" s="5">
        <f t="shared" si="9"/>
        <v>1</v>
      </c>
      <c r="L19" s="5">
        <f t="shared" si="10"/>
        <v>0</v>
      </c>
    </row>
    <row r="20" spans="1:12" x14ac:dyDescent="0.2">
      <c r="A20" s="5">
        <v>14</v>
      </c>
      <c r="B20" s="11">
        <f t="shared" si="0"/>
        <v>4784.8479031488414</v>
      </c>
      <c r="C20" s="11">
        <f t="shared" si="1"/>
        <v>720</v>
      </c>
      <c r="D20" s="11">
        <f t="shared" si="2"/>
        <v>4064.8479031488414</v>
      </c>
      <c r="E20" s="10">
        <f t="shared" si="3"/>
        <v>95570.276096334055</v>
      </c>
      <c r="F20" s="10">
        <f t="shared" si="4"/>
        <v>12320</v>
      </c>
      <c r="G20" s="10">
        <f t="shared" si="5"/>
        <v>107890.27609633406</v>
      </c>
      <c r="H20" s="10">
        <f t="shared" si="7"/>
        <v>13826.017053974152</v>
      </c>
      <c r="I20" s="5">
        <f t="shared" si="6"/>
        <v>8800</v>
      </c>
      <c r="J20" s="6" t="str">
        <f t="shared" si="8"/>
        <v>MC &gt; P</v>
      </c>
      <c r="K20" s="5">
        <f t="shared" si="9"/>
        <v>1</v>
      </c>
      <c r="L20" s="5">
        <f t="shared" si="10"/>
        <v>0</v>
      </c>
    </row>
    <row r="21" spans="1:12" x14ac:dyDescent="0.2">
      <c r="A21" s="5">
        <v>15</v>
      </c>
      <c r="B21" s="11">
        <f t="shared" si="0"/>
        <v>5639.2850287111351</v>
      </c>
      <c r="C21" s="11">
        <f t="shared" si="1"/>
        <v>720</v>
      </c>
      <c r="D21" s="11">
        <f t="shared" si="2"/>
        <v>4919.2850287111351</v>
      </c>
      <c r="E21" s="10">
        <f t="shared" si="3"/>
        <v>110404.25397067942</v>
      </c>
      <c r="F21" s="10">
        <f t="shared" si="4"/>
        <v>13200</v>
      </c>
      <c r="G21" s="10">
        <f t="shared" si="5"/>
        <v>123604.25397067942</v>
      </c>
      <c r="H21" s="10">
        <f t="shared" si="7"/>
        <v>15713.977874345364</v>
      </c>
      <c r="I21" s="5">
        <f t="shared" si="6"/>
        <v>8800</v>
      </c>
      <c r="J21" s="6" t="str">
        <f t="shared" si="8"/>
        <v>MC &gt; P</v>
      </c>
      <c r="K21" s="5">
        <f t="shared" si="9"/>
        <v>1</v>
      </c>
      <c r="L21" s="5">
        <f t="shared" si="10"/>
        <v>0</v>
      </c>
    </row>
    <row r="22" spans="1:12" x14ac:dyDescent="0.2">
      <c r="A22" s="5">
        <v>16</v>
      </c>
      <c r="B22" s="11">
        <f t="shared" si="0"/>
        <v>6616.761100354398</v>
      </c>
      <c r="C22" s="11">
        <f t="shared" si="1"/>
        <v>720</v>
      </c>
      <c r="D22" s="11">
        <f t="shared" si="2"/>
        <v>5896.761100354398</v>
      </c>
      <c r="E22" s="10">
        <f t="shared" si="3"/>
        <v>127374.32465893052</v>
      </c>
      <c r="F22" s="10">
        <f t="shared" si="4"/>
        <v>14080</v>
      </c>
      <c r="G22" s="10">
        <f t="shared" si="5"/>
        <v>141454.32465893053</v>
      </c>
      <c r="H22" s="10">
        <f t="shared" si="7"/>
        <v>17850.070688251115</v>
      </c>
      <c r="I22" s="5">
        <f t="shared" si="6"/>
        <v>8800</v>
      </c>
      <c r="J22" s="6" t="str">
        <f t="shared" si="8"/>
        <v>MC &gt; P</v>
      </c>
      <c r="K22" s="5">
        <f t="shared" si="9"/>
        <v>1</v>
      </c>
      <c r="L22" s="5">
        <f t="shared" si="10"/>
        <v>0</v>
      </c>
    </row>
    <row r="23" spans="1:12" x14ac:dyDescent="0.2">
      <c r="A23" s="5">
        <v>17</v>
      </c>
      <c r="B23" s="11">
        <f t="shared" si="0"/>
        <v>7733.3395360392033</v>
      </c>
      <c r="C23" s="11">
        <f t="shared" si="1"/>
        <v>720</v>
      </c>
      <c r="D23" s="11">
        <f t="shared" si="2"/>
        <v>7013.3395360392033</v>
      </c>
      <c r="E23" s="10">
        <f t="shared" si="3"/>
        <v>146759.36694512505</v>
      </c>
      <c r="F23" s="10">
        <f t="shared" si="4"/>
        <v>14960</v>
      </c>
      <c r="G23" s="10">
        <f t="shared" si="5"/>
        <v>161719.36694512505</v>
      </c>
      <c r="H23" s="10">
        <f t="shared" si="7"/>
        <v>20265.042286194512</v>
      </c>
      <c r="I23" s="5">
        <f t="shared" si="6"/>
        <v>8800</v>
      </c>
      <c r="J23" s="6" t="str">
        <f t="shared" si="8"/>
        <v>MC &gt; P</v>
      </c>
      <c r="K23" s="5">
        <f t="shared" si="9"/>
        <v>1</v>
      </c>
      <c r="L23" s="5">
        <f t="shared" si="10"/>
        <v>0</v>
      </c>
    </row>
    <row r="24" spans="1:12" x14ac:dyDescent="0.2">
      <c r="A24" s="5">
        <v>18</v>
      </c>
      <c r="B24" s="11">
        <f t="shared" si="0"/>
        <v>9007.0660478574246</v>
      </c>
      <c r="C24" s="11">
        <f t="shared" si="1"/>
        <v>720</v>
      </c>
      <c r="D24" s="11">
        <f t="shared" si="2"/>
        <v>8287.0660478574246</v>
      </c>
      <c r="E24" s="10">
        <f t="shared" si="3"/>
        <v>168872.67444196917</v>
      </c>
      <c r="F24" s="10">
        <f t="shared" si="4"/>
        <v>15840</v>
      </c>
      <c r="G24" s="10">
        <f t="shared" si="5"/>
        <v>184712.67444196917</v>
      </c>
      <c r="H24" s="10">
        <f t="shared" si="7"/>
        <v>22993.307496844121</v>
      </c>
      <c r="I24" s="5">
        <f t="shared" si="6"/>
        <v>8800</v>
      </c>
      <c r="J24" s="6" t="str">
        <f t="shared" si="8"/>
        <v>MC &gt; P</v>
      </c>
      <c r="K24" s="5">
        <f t="shared" si="9"/>
        <v>1</v>
      </c>
      <c r="L24" s="5">
        <f t="shared" si="10"/>
        <v>0</v>
      </c>
    </row>
    <row r="25" spans="1:12" x14ac:dyDescent="0.2">
      <c r="A25" s="5">
        <v>19</v>
      </c>
      <c r="B25" s="11">
        <f t="shared" si="0"/>
        <v>10458.204466678902</v>
      </c>
      <c r="C25" s="11">
        <f t="shared" si="1"/>
        <v>720</v>
      </c>
      <c r="D25" s="11">
        <f t="shared" si="2"/>
        <v>9738.2044666789025</v>
      </c>
      <c r="E25" s="10">
        <f t="shared" si="3"/>
        <v>194066.04976873094</v>
      </c>
      <c r="F25" s="10">
        <f t="shared" si="4"/>
        <v>16720</v>
      </c>
      <c r="G25" s="10">
        <f t="shared" si="5"/>
        <v>210786.04976873094</v>
      </c>
      <c r="H25" s="10">
        <f t="shared" si="7"/>
        <v>26073.375326761772</v>
      </c>
      <c r="I25" s="5">
        <f t="shared" si="6"/>
        <v>8800</v>
      </c>
      <c r="J25" s="6" t="str">
        <f t="shared" si="8"/>
        <v>MC &gt; P</v>
      </c>
      <c r="K25" s="5">
        <f t="shared" si="9"/>
        <v>1</v>
      </c>
      <c r="L25" s="5">
        <f t="shared" si="10"/>
        <v>0</v>
      </c>
    </row>
    <row r="26" spans="1:12" x14ac:dyDescent="0.2">
      <c r="A26" s="5">
        <v>20</v>
      </c>
      <c r="B26" s="11">
        <f t="shared" si="0"/>
        <v>12109.499908786096</v>
      </c>
      <c r="C26" s="11">
        <f t="shared" si="1"/>
        <v>720</v>
      </c>
      <c r="D26" s="11">
        <f t="shared" si="2"/>
        <v>11389.499908786096</v>
      </c>
      <c r="E26" s="10">
        <f t="shared" si="3"/>
        <v>222734.37341642528</v>
      </c>
      <c r="F26" s="10">
        <f t="shared" si="4"/>
        <v>17600</v>
      </c>
      <c r="G26" s="10">
        <f t="shared" si="5"/>
        <v>240334.37341642528</v>
      </c>
      <c r="H26" s="10">
        <f t="shared" si="7"/>
        <v>29548.323647694342</v>
      </c>
      <c r="I26" s="5">
        <f t="shared" si="6"/>
        <v>8800</v>
      </c>
      <c r="J26" s="6" t="str">
        <f t="shared" si="8"/>
        <v>MC &gt; P</v>
      </c>
      <c r="K26" s="5">
        <f t="shared" si="9"/>
        <v>1</v>
      </c>
      <c r="L26" s="5">
        <f t="shared" si="10"/>
        <v>0</v>
      </c>
    </row>
    <row r="27" spans="1:12" x14ac:dyDescent="0.2">
      <c r="A27" s="16" t="s">
        <v>92</v>
      </c>
      <c r="H27" s="17">
        <f>IFERROR(INDEX(A7:A26,MATCH(1,K7:K26,0))-1,MAX(A7:A26))</f>
        <v>10</v>
      </c>
    </row>
    <row r="28" spans="1:12" x14ac:dyDescent="0.2">
      <c r="A28" s="16" t="s">
        <v>93</v>
      </c>
      <c r="H28" s="17">
        <f>SUM(L7:L26)</f>
        <v>1</v>
      </c>
    </row>
    <row r="31" spans="1:12" x14ac:dyDescent="0.2">
      <c r="A31" s="9" t="s">
        <v>94</v>
      </c>
    </row>
    <row r="32" spans="1:12" x14ac:dyDescent="0.2">
      <c r="A32" s="3" t="s">
        <v>83</v>
      </c>
      <c r="B32" s="3" t="s">
        <v>53</v>
      </c>
      <c r="C32" s="3" t="s">
        <v>84</v>
      </c>
      <c r="D32" s="3" t="s">
        <v>85</v>
      </c>
      <c r="E32" s="3" t="s">
        <v>86</v>
      </c>
      <c r="F32" s="3" t="s">
        <v>54</v>
      </c>
      <c r="G32" s="3" t="s">
        <v>87</v>
      </c>
      <c r="H32" s="3" t="s">
        <v>88</v>
      </c>
      <c r="I32" s="3" t="s">
        <v>51</v>
      </c>
      <c r="J32" s="3" t="s">
        <v>89</v>
      </c>
      <c r="K32" s="3" t="s">
        <v>90</v>
      </c>
      <c r="L32" s="3" t="s">
        <v>91</v>
      </c>
    </row>
    <row r="33" spans="1:12" x14ac:dyDescent="0.2">
      <c r="A33" s="5">
        <v>0</v>
      </c>
      <c r="B33" s="11">
        <f t="shared" ref="B33:B53" si="11">A33*CAR_HRS*SEASON_WEEKS*(1+CAR_DIM)^A33</f>
        <v>0</v>
      </c>
      <c r="C33" s="11">
        <f t="shared" ref="C33:C53" si="12">MIN(B33,FARMER_FIELD_HOURS)</f>
        <v>0</v>
      </c>
      <c r="D33" s="11">
        <f t="shared" ref="D33:D53" si="13">MAX(B33-FARMER_FIELD_HOURS,0)</f>
        <v>0</v>
      </c>
      <c r="E33" s="10">
        <f t="shared" ref="E33:E53" si="14">C33*FARMER_FIELD_RATE+D33*TEMP_RATE</f>
        <v>0</v>
      </c>
      <c r="F33" s="10">
        <f t="shared" ref="F33:F53" si="15">A33*CAR_FERT</f>
        <v>0</v>
      </c>
      <c r="G33" s="10">
        <f t="shared" ref="G33:G53" si="16">E33+F33</f>
        <v>0</v>
      </c>
      <c r="H33" s="6" t="str">
        <f>""</f>
        <v/>
      </c>
      <c r="I33" s="5">
        <f t="shared" ref="I33:I53" si="17">CAR_PRICE</f>
        <v>2094</v>
      </c>
      <c r="J33" s="6" t="str">
        <f>""</f>
        <v/>
      </c>
      <c r="K33" s="6" t="str">
        <f>""</f>
        <v/>
      </c>
      <c r="L33" s="6" t="str">
        <f>""</f>
        <v/>
      </c>
    </row>
    <row r="34" spans="1:12" x14ac:dyDescent="0.2">
      <c r="A34" s="5">
        <v>1</v>
      </c>
      <c r="B34" s="11">
        <f t="shared" si="11"/>
        <v>30.749999999999996</v>
      </c>
      <c r="C34" s="11">
        <f t="shared" si="12"/>
        <v>30.749999999999996</v>
      </c>
      <c r="D34" s="11">
        <f t="shared" si="13"/>
        <v>0</v>
      </c>
      <c r="E34" s="10">
        <f t="shared" si="14"/>
        <v>1067.7083333333333</v>
      </c>
      <c r="F34" s="10">
        <f t="shared" si="15"/>
        <v>440</v>
      </c>
      <c r="G34" s="10">
        <f t="shared" si="16"/>
        <v>1507.7083333333333</v>
      </c>
      <c r="H34" s="10">
        <f t="shared" ref="H34:H53" si="18">G34-G33</f>
        <v>1507.7083333333333</v>
      </c>
      <c r="I34" s="5">
        <f t="shared" si="17"/>
        <v>2094</v>
      </c>
      <c r="J34" s="6" t="str">
        <f t="shared" ref="J34:J53" si="19">IF(H34&lt;=I34,"MC &lt;= P","MC &gt; P")</f>
        <v>MC &lt;= P</v>
      </c>
      <c r="K34" s="5">
        <f t="shared" ref="K34:K53" si="20">IF(H34&gt;I34,1,0)</f>
        <v>0</v>
      </c>
      <c r="L34" s="5" t="str">
        <f>""</f>
        <v/>
      </c>
    </row>
    <row r="35" spans="1:12" x14ac:dyDescent="0.2">
      <c r="A35" s="5">
        <v>2</v>
      </c>
      <c r="B35" s="11">
        <f t="shared" si="11"/>
        <v>63.037499999999994</v>
      </c>
      <c r="C35" s="11">
        <f t="shared" si="12"/>
        <v>63.037499999999994</v>
      </c>
      <c r="D35" s="11">
        <f t="shared" si="13"/>
        <v>0</v>
      </c>
      <c r="E35" s="10">
        <f t="shared" si="14"/>
        <v>2188.802083333333</v>
      </c>
      <c r="F35" s="10">
        <f t="shared" si="15"/>
        <v>880</v>
      </c>
      <c r="G35" s="10">
        <f t="shared" si="16"/>
        <v>3068.802083333333</v>
      </c>
      <c r="H35" s="10">
        <f t="shared" si="18"/>
        <v>1561.0937499999998</v>
      </c>
      <c r="I35" s="5">
        <f t="shared" si="17"/>
        <v>2094</v>
      </c>
      <c r="J35" s="6" t="str">
        <f t="shared" si="19"/>
        <v>MC &lt;= P</v>
      </c>
      <c r="K35" s="5">
        <f t="shared" si="20"/>
        <v>0</v>
      </c>
      <c r="L35" s="5">
        <f t="shared" ref="L35:L53" si="21">IF(H35&lt;H34,1,0)</f>
        <v>0</v>
      </c>
    </row>
    <row r="36" spans="1:12" x14ac:dyDescent="0.2">
      <c r="A36" s="5">
        <v>3</v>
      </c>
      <c r="B36" s="11">
        <f t="shared" si="11"/>
        <v>96.920156249999991</v>
      </c>
      <c r="C36" s="11">
        <f t="shared" si="12"/>
        <v>96.920156249999991</v>
      </c>
      <c r="D36" s="11">
        <f t="shared" si="13"/>
        <v>0</v>
      </c>
      <c r="E36" s="10">
        <f t="shared" si="14"/>
        <v>3365.2832031249995</v>
      </c>
      <c r="F36" s="10">
        <f t="shared" si="15"/>
        <v>1320</v>
      </c>
      <c r="G36" s="10">
        <f t="shared" si="16"/>
        <v>4685.283203125</v>
      </c>
      <c r="H36" s="10">
        <f t="shared" si="18"/>
        <v>1616.481119791667</v>
      </c>
      <c r="I36" s="5">
        <f t="shared" si="17"/>
        <v>2094</v>
      </c>
      <c r="J36" s="6" t="str">
        <f t="shared" si="19"/>
        <v>MC &lt;= P</v>
      </c>
      <c r="K36" s="5">
        <f t="shared" si="20"/>
        <v>0</v>
      </c>
      <c r="L36" s="5">
        <f t="shared" si="21"/>
        <v>0</v>
      </c>
    </row>
    <row r="37" spans="1:12" x14ac:dyDescent="0.2">
      <c r="A37" s="5">
        <v>4</v>
      </c>
      <c r="B37" s="11">
        <f t="shared" si="11"/>
        <v>132.45754687499996</v>
      </c>
      <c r="C37" s="11">
        <f t="shared" si="12"/>
        <v>132.45754687499996</v>
      </c>
      <c r="D37" s="11">
        <f t="shared" si="13"/>
        <v>0</v>
      </c>
      <c r="E37" s="10">
        <f t="shared" si="14"/>
        <v>4599.2203776041652</v>
      </c>
      <c r="F37" s="10">
        <f t="shared" si="15"/>
        <v>1760</v>
      </c>
      <c r="G37" s="10">
        <f t="shared" si="16"/>
        <v>6359.2203776041652</v>
      </c>
      <c r="H37" s="10">
        <f t="shared" si="18"/>
        <v>1673.9371744791652</v>
      </c>
      <c r="I37" s="5">
        <f t="shared" si="17"/>
        <v>2094</v>
      </c>
      <c r="J37" s="6" t="str">
        <f t="shared" si="19"/>
        <v>MC &lt;= P</v>
      </c>
      <c r="K37" s="5">
        <f t="shared" si="20"/>
        <v>0</v>
      </c>
      <c r="L37" s="5">
        <f t="shared" si="21"/>
        <v>0</v>
      </c>
    </row>
    <row r="38" spans="1:12" x14ac:dyDescent="0.2">
      <c r="A38" s="5">
        <v>5</v>
      </c>
      <c r="B38" s="11">
        <f t="shared" si="11"/>
        <v>169.71123193359369</v>
      </c>
      <c r="C38" s="11">
        <f t="shared" si="12"/>
        <v>169.71123193359369</v>
      </c>
      <c r="D38" s="11">
        <f t="shared" si="13"/>
        <v>0</v>
      </c>
      <c r="E38" s="10">
        <f t="shared" si="14"/>
        <v>5892.7511088053361</v>
      </c>
      <c r="F38" s="10">
        <f t="shared" si="15"/>
        <v>2200</v>
      </c>
      <c r="G38" s="10">
        <f t="shared" si="16"/>
        <v>8092.7511088053361</v>
      </c>
      <c r="H38" s="10">
        <f t="shared" si="18"/>
        <v>1733.530731201171</v>
      </c>
      <c r="I38" s="5">
        <f t="shared" si="17"/>
        <v>2094</v>
      </c>
      <c r="J38" s="6" t="str">
        <f t="shared" si="19"/>
        <v>MC &lt;= P</v>
      </c>
      <c r="K38" s="5">
        <f t="shared" si="20"/>
        <v>0</v>
      </c>
      <c r="L38" s="5">
        <f t="shared" si="21"/>
        <v>0</v>
      </c>
    </row>
    <row r="39" spans="1:12" x14ac:dyDescent="0.2">
      <c r="A39" s="5">
        <v>6</v>
      </c>
      <c r="B39" s="11">
        <f t="shared" si="11"/>
        <v>208.74481527832023</v>
      </c>
      <c r="C39" s="11">
        <f t="shared" si="12"/>
        <v>208.74481527832023</v>
      </c>
      <c r="D39" s="11">
        <f t="shared" si="13"/>
        <v>0</v>
      </c>
      <c r="E39" s="10">
        <f t="shared" si="14"/>
        <v>7248.0838638305631</v>
      </c>
      <c r="F39" s="10">
        <f t="shared" si="15"/>
        <v>2640</v>
      </c>
      <c r="G39" s="10">
        <f t="shared" si="16"/>
        <v>9888.0838638305631</v>
      </c>
      <c r="H39" s="10">
        <f t="shared" si="18"/>
        <v>1795.332755025227</v>
      </c>
      <c r="I39" s="5">
        <f t="shared" si="17"/>
        <v>2094</v>
      </c>
      <c r="J39" s="6" t="str">
        <f t="shared" si="19"/>
        <v>MC &lt;= P</v>
      </c>
      <c r="K39" s="5">
        <f t="shared" si="20"/>
        <v>0</v>
      </c>
      <c r="L39" s="5">
        <f t="shared" si="21"/>
        <v>0</v>
      </c>
    </row>
    <row r="40" spans="1:12" x14ac:dyDescent="0.2">
      <c r="A40" s="5">
        <v>7</v>
      </c>
      <c r="B40" s="11">
        <f t="shared" si="11"/>
        <v>249.62400827032465</v>
      </c>
      <c r="C40" s="11">
        <f t="shared" si="12"/>
        <v>249.62400827032465</v>
      </c>
      <c r="D40" s="11">
        <f t="shared" si="13"/>
        <v>0</v>
      </c>
      <c r="E40" s="10">
        <f t="shared" si="14"/>
        <v>8667.50028716405</v>
      </c>
      <c r="F40" s="10">
        <f t="shared" si="15"/>
        <v>3080</v>
      </c>
      <c r="G40" s="10">
        <f t="shared" si="16"/>
        <v>11747.50028716405</v>
      </c>
      <c r="H40" s="10">
        <f t="shared" si="18"/>
        <v>1859.4164233334868</v>
      </c>
      <c r="I40" s="5">
        <f t="shared" si="17"/>
        <v>2094</v>
      </c>
      <c r="J40" s="6" t="str">
        <f t="shared" si="19"/>
        <v>MC &lt;= P</v>
      </c>
      <c r="K40" s="5">
        <f t="shared" si="20"/>
        <v>0</v>
      </c>
      <c r="L40" s="5">
        <f t="shared" si="21"/>
        <v>0</v>
      </c>
    </row>
    <row r="41" spans="1:12" x14ac:dyDescent="0.2">
      <c r="A41" s="5">
        <v>8</v>
      </c>
      <c r="B41" s="11">
        <f t="shared" si="11"/>
        <v>292.41669540238024</v>
      </c>
      <c r="C41" s="11">
        <f t="shared" si="12"/>
        <v>292.41669540238024</v>
      </c>
      <c r="D41" s="11">
        <f t="shared" si="13"/>
        <v>0</v>
      </c>
      <c r="E41" s="10">
        <f t="shared" si="14"/>
        <v>10153.357479249315</v>
      </c>
      <c r="F41" s="10">
        <f t="shared" si="15"/>
        <v>3520</v>
      </c>
      <c r="G41" s="10">
        <f t="shared" si="16"/>
        <v>13673.357479249315</v>
      </c>
      <c r="H41" s="10">
        <f t="shared" si="18"/>
        <v>1925.8571920852646</v>
      </c>
      <c r="I41" s="5">
        <f t="shared" si="17"/>
        <v>2094</v>
      </c>
      <c r="J41" s="6" t="str">
        <f t="shared" si="19"/>
        <v>MC &lt;= P</v>
      </c>
      <c r="K41" s="5">
        <f t="shared" si="20"/>
        <v>0</v>
      </c>
      <c r="L41" s="5">
        <f t="shared" si="21"/>
        <v>0</v>
      </c>
    </row>
    <row r="42" spans="1:12" x14ac:dyDescent="0.2">
      <c r="A42" s="5">
        <v>9</v>
      </c>
      <c r="B42" s="11">
        <f t="shared" si="11"/>
        <v>337.19300188586965</v>
      </c>
      <c r="C42" s="11">
        <f t="shared" si="12"/>
        <v>337.19300188586965</v>
      </c>
      <c r="D42" s="11">
        <f t="shared" si="13"/>
        <v>0</v>
      </c>
      <c r="E42" s="10">
        <f t="shared" si="14"/>
        <v>11708.090343259362</v>
      </c>
      <c r="F42" s="10">
        <f t="shared" si="15"/>
        <v>3960</v>
      </c>
      <c r="G42" s="10">
        <f t="shared" si="16"/>
        <v>15668.090343259362</v>
      </c>
      <c r="H42" s="10">
        <f t="shared" si="18"/>
        <v>1994.7328640100477</v>
      </c>
      <c r="I42" s="5">
        <f t="shared" si="17"/>
        <v>2094</v>
      </c>
      <c r="J42" s="6" t="str">
        <f t="shared" si="19"/>
        <v>MC &lt;= P</v>
      </c>
      <c r="K42" s="5">
        <f t="shared" si="20"/>
        <v>0</v>
      </c>
      <c r="L42" s="5">
        <f t="shared" si="21"/>
        <v>0</v>
      </c>
    </row>
    <row r="43" spans="1:12" x14ac:dyDescent="0.2">
      <c r="A43" s="5">
        <v>10</v>
      </c>
      <c r="B43" s="11">
        <f t="shared" si="11"/>
        <v>384.02536325890713</v>
      </c>
      <c r="C43" s="11">
        <f t="shared" si="12"/>
        <v>384.02536325890713</v>
      </c>
      <c r="D43" s="11">
        <f t="shared" si="13"/>
        <v>0</v>
      </c>
      <c r="E43" s="10">
        <f t="shared" si="14"/>
        <v>13334.214002045386</v>
      </c>
      <c r="F43" s="10">
        <f t="shared" si="15"/>
        <v>4400</v>
      </c>
      <c r="G43" s="10">
        <f t="shared" si="16"/>
        <v>17734.214002045388</v>
      </c>
      <c r="H43" s="10">
        <f t="shared" si="18"/>
        <v>2066.1236587860258</v>
      </c>
      <c r="I43" s="5">
        <f t="shared" si="17"/>
        <v>2094</v>
      </c>
      <c r="J43" s="6" t="str">
        <f t="shared" si="19"/>
        <v>MC &lt;= P</v>
      </c>
      <c r="K43" s="5">
        <f t="shared" si="20"/>
        <v>0</v>
      </c>
      <c r="L43" s="5">
        <f t="shared" si="21"/>
        <v>0</v>
      </c>
    </row>
    <row r="44" spans="1:12" x14ac:dyDescent="0.2">
      <c r="A44" s="5">
        <v>11</v>
      </c>
      <c r="B44" s="11">
        <f t="shared" si="11"/>
        <v>432.98859707441784</v>
      </c>
      <c r="C44" s="11">
        <f t="shared" si="12"/>
        <v>432.98859707441784</v>
      </c>
      <c r="D44" s="11">
        <f t="shared" si="13"/>
        <v>0</v>
      </c>
      <c r="E44" s="10">
        <f t="shared" si="14"/>
        <v>15034.326287306174</v>
      </c>
      <c r="F44" s="10">
        <f t="shared" si="15"/>
        <v>4840</v>
      </c>
      <c r="G44" s="10">
        <f t="shared" si="16"/>
        <v>19874.326287306176</v>
      </c>
      <c r="H44" s="10">
        <f t="shared" si="18"/>
        <v>2140.1122852607878</v>
      </c>
      <c r="I44" s="5">
        <f t="shared" si="17"/>
        <v>2094</v>
      </c>
      <c r="J44" s="6" t="str">
        <f t="shared" si="19"/>
        <v>MC &gt; P</v>
      </c>
      <c r="K44" s="5">
        <f t="shared" si="20"/>
        <v>1</v>
      </c>
      <c r="L44" s="5">
        <f t="shared" si="21"/>
        <v>0</v>
      </c>
    </row>
    <row r="45" spans="1:12" x14ac:dyDescent="0.2">
      <c r="A45" s="5">
        <v>12</v>
      </c>
      <c r="B45" s="11">
        <f t="shared" si="11"/>
        <v>484.15997672866712</v>
      </c>
      <c r="C45" s="11">
        <f t="shared" si="12"/>
        <v>484.15997672866712</v>
      </c>
      <c r="D45" s="11">
        <f t="shared" si="13"/>
        <v>0</v>
      </c>
      <c r="E45" s="10">
        <f t="shared" si="14"/>
        <v>16811.11030307872</v>
      </c>
      <c r="F45" s="10">
        <f t="shared" si="15"/>
        <v>5280</v>
      </c>
      <c r="G45" s="10">
        <f t="shared" si="16"/>
        <v>22091.11030307872</v>
      </c>
      <c r="H45" s="10">
        <f t="shared" si="18"/>
        <v>2216.7840157725441</v>
      </c>
      <c r="I45" s="5">
        <f t="shared" si="17"/>
        <v>2094</v>
      </c>
      <c r="J45" s="6" t="str">
        <f t="shared" si="19"/>
        <v>MC &gt; P</v>
      </c>
      <c r="K45" s="5">
        <f t="shared" si="20"/>
        <v>1</v>
      </c>
      <c r="L45" s="5">
        <f t="shared" si="21"/>
        <v>0</v>
      </c>
    </row>
    <row r="46" spans="1:12" x14ac:dyDescent="0.2">
      <c r="A46" s="5">
        <v>13</v>
      </c>
      <c r="B46" s="11">
        <f t="shared" si="11"/>
        <v>537.61930749245744</v>
      </c>
      <c r="C46" s="11">
        <f t="shared" si="12"/>
        <v>537.61930749245744</v>
      </c>
      <c r="D46" s="11">
        <f t="shared" si="13"/>
        <v>0</v>
      </c>
      <c r="E46" s="10">
        <f t="shared" si="14"/>
        <v>18667.337065710326</v>
      </c>
      <c r="F46" s="10">
        <f t="shared" si="15"/>
        <v>5720</v>
      </c>
      <c r="G46" s="10">
        <f t="shared" si="16"/>
        <v>24387.337065710326</v>
      </c>
      <c r="H46" s="10">
        <f t="shared" si="18"/>
        <v>2296.2267626316061</v>
      </c>
      <c r="I46" s="5">
        <f t="shared" si="17"/>
        <v>2094</v>
      </c>
      <c r="J46" s="6" t="str">
        <f t="shared" si="19"/>
        <v>MC &gt; P</v>
      </c>
      <c r="K46" s="5">
        <f t="shared" si="20"/>
        <v>1</v>
      </c>
      <c r="L46" s="5">
        <f t="shared" si="21"/>
        <v>0</v>
      </c>
    </row>
    <row r="47" spans="1:12" x14ac:dyDescent="0.2">
      <c r="A47" s="5">
        <v>14</v>
      </c>
      <c r="B47" s="11">
        <f t="shared" si="11"/>
        <v>593.44900480898184</v>
      </c>
      <c r="C47" s="11">
        <f t="shared" si="12"/>
        <v>593.44900480898184</v>
      </c>
      <c r="D47" s="11">
        <f t="shared" si="13"/>
        <v>0</v>
      </c>
      <c r="E47" s="10">
        <f t="shared" si="14"/>
        <v>20605.868222534093</v>
      </c>
      <c r="F47" s="10">
        <f t="shared" si="15"/>
        <v>6160</v>
      </c>
      <c r="G47" s="10">
        <f t="shared" si="16"/>
        <v>26765.868222534093</v>
      </c>
      <c r="H47" s="10">
        <f t="shared" si="18"/>
        <v>2378.5311568237667</v>
      </c>
      <c r="I47" s="5">
        <f t="shared" si="17"/>
        <v>2094</v>
      </c>
      <c r="J47" s="6" t="str">
        <f t="shared" si="19"/>
        <v>MC &gt; P</v>
      </c>
      <c r="K47" s="5">
        <f t="shared" si="20"/>
        <v>1</v>
      </c>
      <c r="L47" s="5">
        <f t="shared" si="21"/>
        <v>0</v>
      </c>
    </row>
    <row r="48" spans="1:12" x14ac:dyDescent="0.2">
      <c r="A48" s="5">
        <v>15</v>
      </c>
      <c r="B48" s="11">
        <f t="shared" si="11"/>
        <v>651.73417492414967</v>
      </c>
      <c r="C48" s="11">
        <f t="shared" si="12"/>
        <v>651.73417492414967</v>
      </c>
      <c r="D48" s="11">
        <f t="shared" si="13"/>
        <v>0</v>
      </c>
      <c r="E48" s="10">
        <f t="shared" si="14"/>
        <v>22629.658851532975</v>
      </c>
      <c r="F48" s="10">
        <f t="shared" si="15"/>
        <v>6600</v>
      </c>
      <c r="G48" s="10">
        <f t="shared" si="16"/>
        <v>29229.658851532975</v>
      </c>
      <c r="H48" s="10">
        <f t="shared" si="18"/>
        <v>2463.7906289988823</v>
      </c>
      <c r="I48" s="5">
        <f t="shared" si="17"/>
        <v>2094</v>
      </c>
      <c r="J48" s="6" t="str">
        <f t="shared" si="19"/>
        <v>MC &gt; P</v>
      </c>
      <c r="K48" s="5">
        <f t="shared" si="20"/>
        <v>1</v>
      </c>
      <c r="L48" s="5">
        <f t="shared" si="21"/>
        <v>0</v>
      </c>
    </row>
    <row r="49" spans="1:12" x14ac:dyDescent="0.2">
      <c r="A49" s="5">
        <v>16</v>
      </c>
      <c r="B49" s="11">
        <f t="shared" si="11"/>
        <v>712.5626979170703</v>
      </c>
      <c r="C49" s="11">
        <f t="shared" si="12"/>
        <v>712.5626979170703</v>
      </c>
      <c r="D49" s="11">
        <f t="shared" si="13"/>
        <v>0</v>
      </c>
      <c r="E49" s="10">
        <f t="shared" si="14"/>
        <v>24741.760344342718</v>
      </c>
      <c r="F49" s="10">
        <f t="shared" si="15"/>
        <v>7040</v>
      </c>
      <c r="G49" s="10">
        <f t="shared" si="16"/>
        <v>31781.760344342718</v>
      </c>
      <c r="H49" s="10">
        <f t="shared" si="18"/>
        <v>2552.1014928097429</v>
      </c>
      <c r="I49" s="5">
        <f t="shared" si="17"/>
        <v>2094</v>
      </c>
      <c r="J49" s="6" t="str">
        <f t="shared" si="19"/>
        <v>MC &gt; P</v>
      </c>
      <c r="K49" s="5">
        <f t="shared" si="20"/>
        <v>1</v>
      </c>
      <c r="L49" s="5">
        <f t="shared" si="21"/>
        <v>0</v>
      </c>
    </row>
    <row r="50" spans="1:12" x14ac:dyDescent="0.2">
      <c r="A50" s="5">
        <v>17</v>
      </c>
      <c r="B50" s="11">
        <f t="shared" si="11"/>
        <v>776.02531320030937</v>
      </c>
      <c r="C50" s="11">
        <f t="shared" si="12"/>
        <v>720</v>
      </c>
      <c r="D50" s="11">
        <f t="shared" si="13"/>
        <v>56.02531320030937</v>
      </c>
      <c r="E50" s="10">
        <f t="shared" si="14"/>
        <v>25972.66168750537</v>
      </c>
      <c r="F50" s="10">
        <f t="shared" si="15"/>
        <v>7480</v>
      </c>
      <c r="G50" s="10">
        <f t="shared" si="16"/>
        <v>33452.661687505373</v>
      </c>
      <c r="H50" s="10">
        <f t="shared" si="18"/>
        <v>1670.9013431626554</v>
      </c>
      <c r="I50" s="5">
        <f t="shared" si="17"/>
        <v>2094</v>
      </c>
      <c r="J50" s="6" t="str">
        <f t="shared" si="19"/>
        <v>MC &lt;= P</v>
      </c>
      <c r="K50" s="5">
        <f t="shared" si="20"/>
        <v>0</v>
      </c>
      <c r="L50" s="5">
        <f t="shared" si="21"/>
        <v>1</v>
      </c>
    </row>
    <row r="51" spans="1:12" x14ac:dyDescent="0.2">
      <c r="A51" s="5">
        <v>18</v>
      </c>
      <c r="B51" s="11">
        <f t="shared" si="11"/>
        <v>842.2157075615122</v>
      </c>
      <c r="C51" s="11">
        <f t="shared" si="12"/>
        <v>720</v>
      </c>
      <c r="D51" s="11">
        <f t="shared" si="13"/>
        <v>122.2157075615122</v>
      </c>
      <c r="E51" s="10">
        <f t="shared" si="14"/>
        <v>27121.800478498477</v>
      </c>
      <c r="F51" s="10">
        <f t="shared" si="15"/>
        <v>7920</v>
      </c>
      <c r="G51" s="10">
        <f t="shared" si="16"/>
        <v>35041.800478498481</v>
      </c>
      <c r="H51" s="10">
        <f t="shared" si="18"/>
        <v>1589.1387909931072</v>
      </c>
      <c r="I51" s="5">
        <f t="shared" si="17"/>
        <v>2094</v>
      </c>
      <c r="J51" s="6" t="str">
        <f t="shared" si="19"/>
        <v>MC &lt;= P</v>
      </c>
      <c r="K51" s="5">
        <f t="shared" si="20"/>
        <v>0</v>
      </c>
      <c r="L51" s="5">
        <f t="shared" si="21"/>
        <v>1</v>
      </c>
    </row>
    <row r="52" spans="1:12" x14ac:dyDescent="0.2">
      <c r="A52" s="5">
        <v>19</v>
      </c>
      <c r="B52" s="11">
        <f t="shared" si="11"/>
        <v>911.23060582002495</v>
      </c>
      <c r="C52" s="11">
        <f t="shared" si="12"/>
        <v>720</v>
      </c>
      <c r="D52" s="11">
        <f t="shared" si="13"/>
        <v>191.23060582002495</v>
      </c>
      <c r="E52" s="10">
        <f t="shared" si="14"/>
        <v>28319.975795486545</v>
      </c>
      <c r="F52" s="10">
        <f t="shared" si="15"/>
        <v>8360</v>
      </c>
      <c r="G52" s="10">
        <f t="shared" si="16"/>
        <v>36679.975795486549</v>
      </c>
      <c r="H52" s="10">
        <f t="shared" si="18"/>
        <v>1638.1753169880685</v>
      </c>
      <c r="I52" s="5">
        <f t="shared" si="17"/>
        <v>2094</v>
      </c>
      <c r="J52" s="6" t="str">
        <f t="shared" si="19"/>
        <v>MC &lt;= P</v>
      </c>
      <c r="K52" s="5">
        <f t="shared" si="20"/>
        <v>0</v>
      </c>
      <c r="L52" s="5">
        <f t="shared" si="21"/>
        <v>0</v>
      </c>
    </row>
    <row r="53" spans="1:12" x14ac:dyDescent="0.2">
      <c r="A53" s="5">
        <v>20</v>
      </c>
      <c r="B53" s="11">
        <f t="shared" si="11"/>
        <v>983.16986417423732</v>
      </c>
      <c r="C53" s="11">
        <f t="shared" si="12"/>
        <v>720</v>
      </c>
      <c r="D53" s="11">
        <f t="shared" si="13"/>
        <v>263.16986417423732</v>
      </c>
      <c r="E53" s="10">
        <f t="shared" si="14"/>
        <v>29568.921253024953</v>
      </c>
      <c r="F53" s="10">
        <f t="shared" si="15"/>
        <v>8800</v>
      </c>
      <c r="G53" s="10">
        <f t="shared" si="16"/>
        <v>38368.92125302495</v>
      </c>
      <c r="H53" s="10">
        <f t="shared" si="18"/>
        <v>1688.9454575384007</v>
      </c>
      <c r="I53" s="5">
        <f t="shared" si="17"/>
        <v>2094</v>
      </c>
      <c r="J53" s="6" t="str">
        <f t="shared" si="19"/>
        <v>MC &lt;= P</v>
      </c>
      <c r="K53" s="5">
        <f t="shared" si="20"/>
        <v>0</v>
      </c>
      <c r="L53" s="5">
        <f t="shared" si="21"/>
        <v>0</v>
      </c>
    </row>
    <row r="54" spans="1:12" x14ac:dyDescent="0.2">
      <c r="A54" s="16" t="s">
        <v>92</v>
      </c>
      <c r="H54" s="17">
        <f>IFERROR(INDEX(A34:A53,MATCH(1,K34:K53,0))-1,MAX(A34:A53))</f>
        <v>10</v>
      </c>
    </row>
    <row r="55" spans="1:12" x14ac:dyDescent="0.2">
      <c r="A55" s="16" t="s">
        <v>93</v>
      </c>
      <c r="H55" s="17">
        <f>SUM(L34:L53)</f>
        <v>2</v>
      </c>
    </row>
    <row r="58" spans="1:12" x14ac:dyDescent="0.2">
      <c r="A58" s="9" t="s">
        <v>95</v>
      </c>
    </row>
    <row r="59" spans="1:12" x14ac:dyDescent="0.2">
      <c r="A59" s="3" t="s">
        <v>83</v>
      </c>
      <c r="B59" s="3" t="s">
        <v>53</v>
      </c>
      <c r="C59" s="3" t="s">
        <v>84</v>
      </c>
      <c r="D59" s="3" t="s">
        <v>85</v>
      </c>
      <c r="E59" s="3" t="s">
        <v>86</v>
      </c>
      <c r="F59" s="3" t="s">
        <v>54</v>
      </c>
      <c r="G59" s="3" t="s">
        <v>87</v>
      </c>
      <c r="H59" s="3" t="s">
        <v>88</v>
      </c>
      <c r="I59" s="3" t="s">
        <v>51</v>
      </c>
      <c r="J59" s="3" t="s">
        <v>89</v>
      </c>
      <c r="K59" s="3" t="s">
        <v>90</v>
      </c>
      <c r="L59" s="3" t="s">
        <v>91</v>
      </c>
    </row>
    <row r="60" spans="1:12" x14ac:dyDescent="0.2">
      <c r="A60" s="5">
        <v>0</v>
      </c>
      <c r="B60" s="11">
        <f t="shared" ref="B60:B90" si="22">A60*MES_HRS*SEASON_WEEKS*(1+MES_DIM)^A60</f>
        <v>0</v>
      </c>
      <c r="C60" s="11">
        <f t="shared" ref="C60:C90" si="23">MIN(B60,FARMER_FIELD_HOURS)</f>
        <v>0</v>
      </c>
      <c r="D60" s="11">
        <f t="shared" ref="D60:D90" si="24">MAX(B60-FARMER_FIELD_HOURS,0)</f>
        <v>0</v>
      </c>
      <c r="E60" s="10">
        <f t="shared" ref="E60:E90" si="25">C60*FARMER_FIELD_RATE+D60*TEMP_RATE</f>
        <v>0</v>
      </c>
      <c r="F60" s="10">
        <f t="shared" ref="F60:F90" si="26">A60*MES_FERT</f>
        <v>0</v>
      </c>
      <c r="G60" s="10">
        <f t="shared" ref="G60:G90" si="27">E60+F60</f>
        <v>0</v>
      </c>
      <c r="H60" s="6" t="str">
        <f>""</f>
        <v/>
      </c>
      <c r="I60" s="5">
        <f t="shared" ref="I60:I90" si="28">MES_PRICE</f>
        <v>2700</v>
      </c>
      <c r="J60" s="6" t="str">
        <f>""</f>
        <v/>
      </c>
      <c r="K60" s="6" t="str">
        <f>""</f>
        <v/>
      </c>
      <c r="L60" s="6" t="str">
        <f>""</f>
        <v/>
      </c>
    </row>
    <row r="61" spans="1:12" x14ac:dyDescent="0.2">
      <c r="A61" s="5">
        <v>1</v>
      </c>
      <c r="B61" s="11">
        <f t="shared" si="22"/>
        <v>45.5625</v>
      </c>
      <c r="C61" s="11">
        <f t="shared" si="23"/>
        <v>45.5625</v>
      </c>
      <c r="D61" s="11">
        <f t="shared" si="24"/>
        <v>0</v>
      </c>
      <c r="E61" s="10">
        <f t="shared" si="25"/>
        <v>1582.03125</v>
      </c>
      <c r="F61" s="10">
        <f t="shared" si="26"/>
        <v>880</v>
      </c>
      <c r="G61" s="10">
        <f t="shared" si="27"/>
        <v>2462.03125</v>
      </c>
      <c r="H61" s="10">
        <f t="shared" ref="H61:H90" si="29">G61-G60</f>
        <v>2462.03125</v>
      </c>
      <c r="I61" s="5">
        <f t="shared" si="28"/>
        <v>2700</v>
      </c>
      <c r="J61" s="6" t="str">
        <f t="shared" ref="J61:J90" si="30">IF(H61&lt;=I61,"MC &lt;= P","MC &gt; P")</f>
        <v>MC &lt;= P</v>
      </c>
      <c r="K61" s="5">
        <f t="shared" ref="K61:K90" si="31">IF(H61&gt;I61,1,0)</f>
        <v>0</v>
      </c>
      <c r="L61" s="5" t="str">
        <f>""</f>
        <v/>
      </c>
    </row>
    <row r="62" spans="1:12" x14ac:dyDescent="0.2">
      <c r="A62" s="5">
        <v>2</v>
      </c>
      <c r="B62" s="11">
        <f t="shared" si="22"/>
        <v>92.264062499999994</v>
      </c>
      <c r="C62" s="11">
        <f t="shared" si="23"/>
        <v>92.264062499999994</v>
      </c>
      <c r="D62" s="11">
        <f t="shared" si="24"/>
        <v>0</v>
      </c>
      <c r="E62" s="10">
        <f t="shared" si="25"/>
        <v>3203.6132812499995</v>
      </c>
      <c r="F62" s="10">
        <f t="shared" si="26"/>
        <v>1760</v>
      </c>
      <c r="G62" s="10">
        <f t="shared" si="27"/>
        <v>4963.61328125</v>
      </c>
      <c r="H62" s="10">
        <f t="shared" si="29"/>
        <v>2501.58203125</v>
      </c>
      <c r="I62" s="5">
        <f t="shared" si="28"/>
        <v>2700</v>
      </c>
      <c r="J62" s="6" t="str">
        <f t="shared" si="30"/>
        <v>MC &lt;= P</v>
      </c>
      <c r="K62" s="5">
        <f t="shared" si="31"/>
        <v>0</v>
      </c>
      <c r="L62" s="5">
        <f t="shared" ref="L62:L90" si="32">IF(H62&lt;H61,1,0)</f>
        <v>0</v>
      </c>
    </row>
    <row r="63" spans="1:12" x14ac:dyDescent="0.2">
      <c r="A63" s="5">
        <v>3</v>
      </c>
      <c r="B63" s="11">
        <f t="shared" si="22"/>
        <v>140.12604492187498</v>
      </c>
      <c r="C63" s="11">
        <f t="shared" si="23"/>
        <v>140.12604492187498</v>
      </c>
      <c r="D63" s="11">
        <f t="shared" si="24"/>
        <v>0</v>
      </c>
      <c r="E63" s="10">
        <f t="shared" si="25"/>
        <v>4865.4876708984366</v>
      </c>
      <c r="F63" s="10">
        <f t="shared" si="26"/>
        <v>2640</v>
      </c>
      <c r="G63" s="10">
        <f t="shared" si="27"/>
        <v>7505.4876708984366</v>
      </c>
      <c r="H63" s="10">
        <f t="shared" si="29"/>
        <v>2541.8743896484366</v>
      </c>
      <c r="I63" s="5">
        <f t="shared" si="28"/>
        <v>2700</v>
      </c>
      <c r="J63" s="6" t="str">
        <f t="shared" si="30"/>
        <v>MC &lt;= P</v>
      </c>
      <c r="K63" s="5">
        <f t="shared" si="31"/>
        <v>0</v>
      </c>
      <c r="L63" s="5">
        <f t="shared" si="32"/>
        <v>0</v>
      </c>
    </row>
    <row r="64" spans="1:12" x14ac:dyDescent="0.2">
      <c r="A64" s="5">
        <v>4</v>
      </c>
      <c r="B64" s="11">
        <f t="shared" si="22"/>
        <v>189.17016064453125</v>
      </c>
      <c r="C64" s="11">
        <f t="shared" si="23"/>
        <v>189.17016064453125</v>
      </c>
      <c r="D64" s="11">
        <f t="shared" si="24"/>
        <v>0</v>
      </c>
      <c r="E64" s="10">
        <f t="shared" si="25"/>
        <v>6568.4083557128906</v>
      </c>
      <c r="F64" s="10">
        <f t="shared" si="26"/>
        <v>3520</v>
      </c>
      <c r="G64" s="10">
        <f t="shared" si="27"/>
        <v>10088.408355712891</v>
      </c>
      <c r="H64" s="10">
        <f t="shared" si="29"/>
        <v>2582.920684814454</v>
      </c>
      <c r="I64" s="5">
        <f t="shared" si="28"/>
        <v>2700</v>
      </c>
      <c r="J64" s="6" t="str">
        <f t="shared" si="30"/>
        <v>MC &lt;= P</v>
      </c>
      <c r="K64" s="5">
        <f t="shared" si="31"/>
        <v>0</v>
      </c>
      <c r="L64" s="5">
        <f t="shared" si="32"/>
        <v>0</v>
      </c>
    </row>
    <row r="65" spans="1:12" x14ac:dyDescent="0.2">
      <c r="A65" s="5">
        <v>5</v>
      </c>
      <c r="B65" s="11">
        <f t="shared" si="22"/>
        <v>239.41848456573481</v>
      </c>
      <c r="C65" s="11">
        <f t="shared" si="23"/>
        <v>239.41848456573481</v>
      </c>
      <c r="D65" s="11">
        <f t="shared" si="24"/>
        <v>0</v>
      </c>
      <c r="E65" s="10">
        <f t="shared" si="25"/>
        <v>8313.1418251991254</v>
      </c>
      <c r="F65" s="10">
        <f t="shared" si="26"/>
        <v>4400</v>
      </c>
      <c r="G65" s="10">
        <f t="shared" si="27"/>
        <v>12713.141825199125</v>
      </c>
      <c r="H65" s="10">
        <f t="shared" si="29"/>
        <v>2624.7334694862348</v>
      </c>
      <c r="I65" s="5">
        <f t="shared" si="28"/>
        <v>2700</v>
      </c>
      <c r="J65" s="6" t="str">
        <f t="shared" si="30"/>
        <v>MC &lt;= P</v>
      </c>
      <c r="K65" s="5">
        <f t="shared" si="31"/>
        <v>0</v>
      </c>
      <c r="L65" s="5">
        <f t="shared" si="32"/>
        <v>0</v>
      </c>
    </row>
    <row r="66" spans="1:12" x14ac:dyDescent="0.2">
      <c r="A66" s="5">
        <v>6</v>
      </c>
      <c r="B66" s="11">
        <f t="shared" si="22"/>
        <v>290.89345874736784</v>
      </c>
      <c r="C66" s="11">
        <f t="shared" si="23"/>
        <v>290.89345874736784</v>
      </c>
      <c r="D66" s="11">
        <f t="shared" si="24"/>
        <v>0</v>
      </c>
      <c r="E66" s="10">
        <f t="shared" si="25"/>
        <v>10100.467317616938</v>
      </c>
      <c r="F66" s="10">
        <f t="shared" si="26"/>
        <v>5280</v>
      </c>
      <c r="G66" s="10">
        <f t="shared" si="27"/>
        <v>15380.467317616938</v>
      </c>
      <c r="H66" s="10">
        <f t="shared" si="29"/>
        <v>2667.3254924178127</v>
      </c>
      <c r="I66" s="5">
        <f t="shared" si="28"/>
        <v>2700</v>
      </c>
      <c r="J66" s="6" t="str">
        <f t="shared" si="30"/>
        <v>MC &lt;= P</v>
      </c>
      <c r="K66" s="5">
        <f t="shared" si="31"/>
        <v>0</v>
      </c>
      <c r="L66" s="5">
        <f t="shared" si="32"/>
        <v>0</v>
      </c>
    </row>
    <row r="67" spans="1:12" x14ac:dyDescent="0.2">
      <c r="A67" s="5">
        <v>7</v>
      </c>
      <c r="B67" s="11">
        <f t="shared" si="22"/>
        <v>343.61789814532818</v>
      </c>
      <c r="C67" s="11">
        <f t="shared" si="23"/>
        <v>343.61789814532818</v>
      </c>
      <c r="D67" s="11">
        <f t="shared" si="24"/>
        <v>0</v>
      </c>
      <c r="E67" s="10">
        <f t="shared" si="25"/>
        <v>11931.177018935006</v>
      </c>
      <c r="F67" s="10">
        <f t="shared" si="26"/>
        <v>6160</v>
      </c>
      <c r="G67" s="10">
        <f t="shared" si="27"/>
        <v>18091.177018935006</v>
      </c>
      <c r="H67" s="10">
        <f t="shared" si="29"/>
        <v>2710.7097013180683</v>
      </c>
      <c r="I67" s="5">
        <f t="shared" si="28"/>
        <v>2700</v>
      </c>
      <c r="J67" s="6" t="str">
        <f t="shared" si="30"/>
        <v>MC &gt; P</v>
      </c>
      <c r="K67" s="5">
        <f t="shared" si="31"/>
        <v>1</v>
      </c>
      <c r="L67" s="5">
        <f t="shared" si="32"/>
        <v>0</v>
      </c>
    </row>
    <row r="68" spans="1:12" x14ac:dyDescent="0.2">
      <c r="A68" s="5">
        <v>8</v>
      </c>
      <c r="B68" s="11">
        <f t="shared" si="22"/>
        <v>397.61499642530839</v>
      </c>
      <c r="C68" s="11">
        <f t="shared" si="23"/>
        <v>397.61499642530839</v>
      </c>
      <c r="D68" s="11">
        <f t="shared" si="24"/>
        <v>0</v>
      </c>
      <c r="E68" s="10">
        <f t="shared" si="25"/>
        <v>13806.076264767653</v>
      </c>
      <c r="F68" s="10">
        <f t="shared" si="26"/>
        <v>7040</v>
      </c>
      <c r="G68" s="10">
        <f t="shared" si="27"/>
        <v>20846.076264767653</v>
      </c>
      <c r="H68" s="10">
        <f t="shared" si="29"/>
        <v>2754.8992458326466</v>
      </c>
      <c r="I68" s="5">
        <f t="shared" si="28"/>
        <v>2700</v>
      </c>
      <c r="J68" s="6" t="str">
        <f t="shared" si="30"/>
        <v>MC &gt; P</v>
      </c>
      <c r="K68" s="5">
        <f t="shared" si="31"/>
        <v>1</v>
      </c>
      <c r="L68" s="5">
        <f t="shared" si="32"/>
        <v>0</v>
      </c>
    </row>
    <row r="69" spans="1:12" x14ac:dyDescent="0.2">
      <c r="A69" s="5">
        <v>9</v>
      </c>
      <c r="B69" s="11">
        <f t="shared" si="22"/>
        <v>452.90833186570285</v>
      </c>
      <c r="C69" s="11">
        <f t="shared" si="23"/>
        <v>452.90833186570285</v>
      </c>
      <c r="D69" s="11">
        <f t="shared" si="24"/>
        <v>0</v>
      </c>
      <c r="E69" s="10">
        <f t="shared" si="25"/>
        <v>15725.983745336904</v>
      </c>
      <c r="F69" s="10">
        <f t="shared" si="26"/>
        <v>7920</v>
      </c>
      <c r="G69" s="10">
        <f t="shared" si="27"/>
        <v>23645.983745336904</v>
      </c>
      <c r="H69" s="10">
        <f t="shared" si="29"/>
        <v>2799.9074805692508</v>
      </c>
      <c r="I69" s="5">
        <f t="shared" si="28"/>
        <v>2700</v>
      </c>
      <c r="J69" s="6" t="str">
        <f t="shared" si="30"/>
        <v>MC &gt; P</v>
      </c>
      <c r="K69" s="5">
        <f t="shared" si="31"/>
        <v>1</v>
      </c>
      <c r="L69" s="5">
        <f t="shared" si="32"/>
        <v>0</v>
      </c>
    </row>
    <row r="70" spans="1:12" x14ac:dyDescent="0.2">
      <c r="A70" s="5">
        <v>10</v>
      </c>
      <c r="B70" s="11">
        <f t="shared" si="22"/>
        <v>509.52187334891573</v>
      </c>
      <c r="C70" s="11">
        <f t="shared" si="23"/>
        <v>509.52187334891573</v>
      </c>
      <c r="D70" s="11">
        <f t="shared" si="24"/>
        <v>0</v>
      </c>
      <c r="E70" s="10">
        <f t="shared" si="25"/>
        <v>17691.731713504018</v>
      </c>
      <c r="F70" s="10">
        <f t="shared" si="26"/>
        <v>8800</v>
      </c>
      <c r="G70" s="10">
        <f t="shared" si="27"/>
        <v>26491.731713504018</v>
      </c>
      <c r="H70" s="10">
        <f t="shared" si="29"/>
        <v>2845.7479681671139</v>
      </c>
      <c r="I70" s="5">
        <f t="shared" si="28"/>
        <v>2700</v>
      </c>
      <c r="J70" s="6" t="str">
        <f t="shared" si="30"/>
        <v>MC &gt; P</v>
      </c>
      <c r="K70" s="5">
        <f t="shared" si="31"/>
        <v>1</v>
      </c>
      <c r="L70" s="5">
        <f t="shared" si="32"/>
        <v>0</v>
      </c>
    </row>
    <row r="71" spans="1:12" x14ac:dyDescent="0.2">
      <c r="A71" s="5">
        <v>11</v>
      </c>
      <c r="B71" s="11">
        <f t="shared" si="22"/>
        <v>567.47998644235474</v>
      </c>
      <c r="C71" s="11">
        <f t="shared" si="23"/>
        <v>567.47998644235474</v>
      </c>
      <c r="D71" s="11">
        <f t="shared" si="24"/>
        <v>0</v>
      </c>
      <c r="E71" s="10">
        <f t="shared" si="25"/>
        <v>19704.166195915095</v>
      </c>
      <c r="F71" s="10">
        <f t="shared" si="26"/>
        <v>9680</v>
      </c>
      <c r="G71" s="10">
        <f t="shared" si="27"/>
        <v>29384.166195915095</v>
      </c>
      <c r="H71" s="10">
        <f t="shared" si="29"/>
        <v>2892.4344824110776</v>
      </c>
      <c r="I71" s="5">
        <f t="shared" si="28"/>
        <v>2700</v>
      </c>
      <c r="J71" s="6" t="str">
        <f t="shared" si="30"/>
        <v>MC &gt; P</v>
      </c>
      <c r="K71" s="5">
        <f t="shared" si="31"/>
        <v>1</v>
      </c>
      <c r="L71" s="5">
        <f t="shared" si="32"/>
        <v>0</v>
      </c>
    </row>
    <row r="72" spans="1:12" x14ac:dyDescent="0.2">
      <c r="A72" s="5">
        <v>12</v>
      </c>
      <c r="B72" s="11">
        <f t="shared" si="22"/>
        <v>626.80743957041921</v>
      </c>
      <c r="C72" s="11">
        <f t="shared" si="23"/>
        <v>626.80743957041921</v>
      </c>
      <c r="D72" s="11">
        <f t="shared" si="24"/>
        <v>0</v>
      </c>
      <c r="E72" s="10">
        <f t="shared" si="25"/>
        <v>21764.147207306221</v>
      </c>
      <c r="F72" s="10">
        <f t="shared" si="26"/>
        <v>10560</v>
      </c>
      <c r="G72" s="10">
        <f t="shared" si="27"/>
        <v>32324.147207306221</v>
      </c>
      <c r="H72" s="10">
        <f t="shared" si="29"/>
        <v>2939.9810113911262</v>
      </c>
      <c r="I72" s="5">
        <f t="shared" si="28"/>
        <v>2700</v>
      </c>
      <c r="J72" s="6" t="str">
        <f t="shared" si="30"/>
        <v>MC &gt; P</v>
      </c>
      <c r="K72" s="5">
        <f t="shared" si="31"/>
        <v>1</v>
      </c>
      <c r="L72" s="5">
        <f t="shared" si="32"/>
        <v>0</v>
      </c>
    </row>
    <row r="73" spans="1:12" x14ac:dyDescent="0.2">
      <c r="A73" s="5">
        <v>13</v>
      </c>
      <c r="B73" s="11">
        <f t="shared" si="22"/>
        <v>687.52941027880343</v>
      </c>
      <c r="C73" s="11">
        <f t="shared" si="23"/>
        <v>687.52941027880343</v>
      </c>
      <c r="D73" s="11">
        <f t="shared" si="24"/>
        <v>0</v>
      </c>
      <c r="E73" s="10">
        <f t="shared" si="25"/>
        <v>23872.548968014009</v>
      </c>
      <c r="F73" s="10">
        <f t="shared" si="26"/>
        <v>11440</v>
      </c>
      <c r="G73" s="10">
        <f t="shared" si="27"/>
        <v>35312.548968014009</v>
      </c>
      <c r="H73" s="10">
        <f t="shared" si="29"/>
        <v>2988.4017607077876</v>
      </c>
      <c r="I73" s="5">
        <f t="shared" si="28"/>
        <v>2700</v>
      </c>
      <c r="J73" s="6" t="str">
        <f t="shared" si="30"/>
        <v>MC &gt; P</v>
      </c>
      <c r="K73" s="5">
        <f t="shared" si="31"/>
        <v>1</v>
      </c>
      <c r="L73" s="5">
        <f t="shared" si="32"/>
        <v>0</v>
      </c>
    </row>
    <row r="74" spans="1:12" x14ac:dyDescent="0.2">
      <c r="A74" s="5">
        <v>14</v>
      </c>
      <c r="B74" s="11">
        <f t="shared" si="22"/>
        <v>749.67149159246469</v>
      </c>
      <c r="C74" s="11">
        <f t="shared" si="23"/>
        <v>720</v>
      </c>
      <c r="D74" s="11">
        <f t="shared" si="24"/>
        <v>29.67149159246469</v>
      </c>
      <c r="E74" s="10">
        <f t="shared" si="25"/>
        <v>25515.130062369179</v>
      </c>
      <c r="F74" s="10">
        <f t="shared" si="26"/>
        <v>12320</v>
      </c>
      <c r="G74" s="10">
        <f t="shared" si="27"/>
        <v>37835.130062369179</v>
      </c>
      <c r="H74" s="10">
        <f t="shared" si="29"/>
        <v>2522.5810943551696</v>
      </c>
      <c r="I74" s="5">
        <f t="shared" si="28"/>
        <v>2700</v>
      </c>
      <c r="J74" s="6" t="str">
        <f t="shared" si="30"/>
        <v>MC &lt;= P</v>
      </c>
      <c r="K74" s="5">
        <f t="shared" si="31"/>
        <v>0</v>
      </c>
      <c r="L74" s="5">
        <f t="shared" si="32"/>
        <v>1</v>
      </c>
    </row>
    <row r="75" spans="1:12" x14ac:dyDescent="0.2">
      <c r="A75" s="5">
        <v>15</v>
      </c>
      <c r="B75" s="11">
        <f t="shared" si="22"/>
        <v>813.25969846861108</v>
      </c>
      <c r="C75" s="11">
        <f t="shared" si="23"/>
        <v>720</v>
      </c>
      <c r="D75" s="11">
        <f t="shared" si="24"/>
        <v>93.259698468611077</v>
      </c>
      <c r="E75" s="10">
        <f t="shared" si="25"/>
        <v>26619.091987302276</v>
      </c>
      <c r="F75" s="10">
        <f t="shared" si="26"/>
        <v>13200</v>
      </c>
      <c r="G75" s="10">
        <f t="shared" si="27"/>
        <v>39819.091987302279</v>
      </c>
      <c r="H75" s="10">
        <f t="shared" si="29"/>
        <v>1983.9619249331008</v>
      </c>
      <c r="I75" s="5">
        <f t="shared" si="28"/>
        <v>2700</v>
      </c>
      <c r="J75" s="6" t="str">
        <f t="shared" si="30"/>
        <v>MC &lt;= P</v>
      </c>
      <c r="K75" s="5">
        <f t="shared" si="31"/>
        <v>0</v>
      </c>
      <c r="L75" s="5">
        <f t="shared" si="32"/>
        <v>1</v>
      </c>
    </row>
    <row r="76" spans="1:12" x14ac:dyDescent="0.2">
      <c r="A76" s="5">
        <v>16</v>
      </c>
      <c r="B76" s="11">
        <f t="shared" si="22"/>
        <v>878.32047434610013</v>
      </c>
      <c r="C76" s="11">
        <f t="shared" si="23"/>
        <v>720</v>
      </c>
      <c r="D76" s="11">
        <f t="shared" si="24"/>
        <v>158.32047434610013</v>
      </c>
      <c r="E76" s="10">
        <f t="shared" si="25"/>
        <v>27748.619346286461</v>
      </c>
      <c r="F76" s="10">
        <f t="shared" si="26"/>
        <v>14080</v>
      </c>
      <c r="G76" s="10">
        <f t="shared" si="27"/>
        <v>41828.619346286461</v>
      </c>
      <c r="H76" s="10">
        <f t="shared" si="29"/>
        <v>2009.5273589841818</v>
      </c>
      <c r="I76" s="5">
        <f t="shared" si="28"/>
        <v>2700</v>
      </c>
      <c r="J76" s="6" t="str">
        <f t="shared" si="30"/>
        <v>MC &lt;= P</v>
      </c>
      <c r="K76" s="5">
        <f t="shared" si="31"/>
        <v>0</v>
      </c>
      <c r="L76" s="5">
        <f t="shared" si="32"/>
        <v>0</v>
      </c>
    </row>
    <row r="77" spans="1:12" x14ac:dyDescent="0.2">
      <c r="A77" s="5">
        <v>17</v>
      </c>
      <c r="B77" s="11">
        <f t="shared" si="22"/>
        <v>944.88069779264049</v>
      </c>
      <c r="C77" s="11">
        <f t="shared" si="23"/>
        <v>720</v>
      </c>
      <c r="D77" s="11">
        <f t="shared" si="24"/>
        <v>224.88069779264049</v>
      </c>
      <c r="E77" s="10">
        <f t="shared" si="25"/>
        <v>28904.178781122231</v>
      </c>
      <c r="F77" s="10">
        <f t="shared" si="26"/>
        <v>14960</v>
      </c>
      <c r="G77" s="10">
        <f t="shared" si="27"/>
        <v>43864.178781122231</v>
      </c>
      <c r="H77" s="10">
        <f t="shared" si="29"/>
        <v>2035.5594348357699</v>
      </c>
      <c r="I77" s="5">
        <f t="shared" si="28"/>
        <v>2700</v>
      </c>
      <c r="J77" s="6" t="str">
        <f t="shared" si="30"/>
        <v>MC &lt;= P</v>
      </c>
      <c r="K77" s="5">
        <f t="shared" si="31"/>
        <v>0</v>
      </c>
      <c r="L77" s="5">
        <f t="shared" si="32"/>
        <v>0</v>
      </c>
    </row>
    <row r="78" spans="1:12" x14ac:dyDescent="0.2">
      <c r="A78" s="5">
        <v>18</v>
      </c>
      <c r="B78" s="11">
        <f t="shared" si="22"/>
        <v>1012.9676892512279</v>
      </c>
      <c r="C78" s="11">
        <f t="shared" si="23"/>
        <v>720</v>
      </c>
      <c r="D78" s="11">
        <f t="shared" si="24"/>
        <v>292.96768925122785</v>
      </c>
      <c r="E78" s="10">
        <f t="shared" si="25"/>
        <v>30086.244605056039</v>
      </c>
      <c r="F78" s="10">
        <f t="shared" si="26"/>
        <v>15840</v>
      </c>
      <c r="G78" s="10">
        <f t="shared" si="27"/>
        <v>45926.244605056039</v>
      </c>
      <c r="H78" s="10">
        <f t="shared" si="29"/>
        <v>2062.0658239338081</v>
      </c>
      <c r="I78" s="5">
        <f t="shared" si="28"/>
        <v>2700</v>
      </c>
      <c r="J78" s="6" t="str">
        <f t="shared" si="30"/>
        <v>MC &lt;= P</v>
      </c>
      <c r="K78" s="5">
        <f t="shared" si="31"/>
        <v>0</v>
      </c>
      <c r="L78" s="5">
        <f t="shared" si="32"/>
        <v>0</v>
      </c>
    </row>
    <row r="79" spans="1:12" x14ac:dyDescent="0.2">
      <c r="A79" s="5">
        <v>19</v>
      </c>
      <c r="B79" s="11">
        <f t="shared" si="22"/>
        <v>1082.6092178872495</v>
      </c>
      <c r="C79" s="11">
        <f t="shared" si="23"/>
        <v>720</v>
      </c>
      <c r="D79" s="11">
        <f t="shared" si="24"/>
        <v>362.60921788724954</v>
      </c>
      <c r="E79" s="10">
        <f t="shared" si="25"/>
        <v>31295.298921653637</v>
      </c>
      <c r="F79" s="10">
        <f t="shared" si="26"/>
        <v>16720</v>
      </c>
      <c r="G79" s="10">
        <f t="shared" si="27"/>
        <v>48015.298921653637</v>
      </c>
      <c r="H79" s="10">
        <f t="shared" si="29"/>
        <v>2089.0543165975978</v>
      </c>
      <c r="I79" s="5">
        <f t="shared" si="28"/>
        <v>2700</v>
      </c>
      <c r="J79" s="6" t="str">
        <f t="shared" si="30"/>
        <v>MC &lt;= P</v>
      </c>
      <c r="K79" s="5">
        <f t="shared" si="31"/>
        <v>0</v>
      </c>
      <c r="L79" s="5">
        <f t="shared" si="32"/>
        <v>0</v>
      </c>
    </row>
    <row r="80" spans="1:12" x14ac:dyDescent="0.2">
      <c r="A80" s="5">
        <v>20</v>
      </c>
      <c r="B80" s="11">
        <f t="shared" si="22"/>
        <v>1153.8335085377266</v>
      </c>
      <c r="C80" s="11">
        <f t="shared" si="23"/>
        <v>720</v>
      </c>
      <c r="D80" s="11">
        <f t="shared" si="24"/>
        <v>433.83350853772663</v>
      </c>
      <c r="E80" s="10">
        <f t="shared" si="25"/>
        <v>32531.831745446641</v>
      </c>
      <c r="F80" s="10">
        <f t="shared" si="26"/>
        <v>17600</v>
      </c>
      <c r="G80" s="10">
        <f t="shared" si="27"/>
        <v>50131.831745446645</v>
      </c>
      <c r="H80" s="10">
        <f t="shared" si="29"/>
        <v>2116.532823793008</v>
      </c>
      <c r="I80" s="5">
        <f t="shared" si="28"/>
        <v>2700</v>
      </c>
      <c r="J80" s="6" t="str">
        <f t="shared" si="30"/>
        <v>MC &lt;= P</v>
      </c>
      <c r="K80" s="5">
        <f t="shared" si="31"/>
        <v>0</v>
      </c>
      <c r="L80" s="5">
        <f t="shared" si="32"/>
        <v>0</v>
      </c>
    </row>
    <row r="81" spans="1:12" x14ac:dyDescent="0.2">
      <c r="A81" s="5">
        <v>21</v>
      </c>
      <c r="B81" s="11">
        <f t="shared" si="22"/>
        <v>1226.6692487641703</v>
      </c>
      <c r="C81" s="11">
        <f t="shared" si="23"/>
        <v>720</v>
      </c>
      <c r="D81" s="11">
        <f t="shared" si="24"/>
        <v>506.66924876417033</v>
      </c>
      <c r="E81" s="10">
        <f t="shared" si="25"/>
        <v>33796.341124377956</v>
      </c>
      <c r="F81" s="10">
        <f t="shared" si="26"/>
        <v>18480</v>
      </c>
      <c r="G81" s="10">
        <f t="shared" si="27"/>
        <v>52276.341124377956</v>
      </c>
      <c r="H81" s="10">
        <f t="shared" si="29"/>
        <v>2144.5093789313105</v>
      </c>
      <c r="I81" s="5">
        <f t="shared" si="28"/>
        <v>2700</v>
      </c>
      <c r="J81" s="6" t="str">
        <f t="shared" si="30"/>
        <v>MC &lt;= P</v>
      </c>
      <c r="K81" s="5">
        <f t="shared" si="31"/>
        <v>0</v>
      </c>
      <c r="L81" s="5">
        <f t="shared" si="32"/>
        <v>0</v>
      </c>
    </row>
    <row r="82" spans="1:12" x14ac:dyDescent="0.2">
      <c r="A82" s="5">
        <v>22</v>
      </c>
      <c r="B82" s="11">
        <f t="shared" si="22"/>
        <v>1301.1455960105666</v>
      </c>
      <c r="C82" s="11">
        <f t="shared" si="23"/>
        <v>720</v>
      </c>
      <c r="D82" s="11">
        <f t="shared" si="24"/>
        <v>581.14559601056658</v>
      </c>
      <c r="E82" s="10">
        <f t="shared" si="25"/>
        <v>35089.333264072338</v>
      </c>
      <c r="F82" s="10">
        <f t="shared" si="26"/>
        <v>19360</v>
      </c>
      <c r="G82" s="10">
        <f t="shared" si="27"/>
        <v>54449.333264072338</v>
      </c>
      <c r="H82" s="10">
        <f t="shared" si="29"/>
        <v>2172.9921396943828</v>
      </c>
      <c r="I82" s="5">
        <f t="shared" si="28"/>
        <v>2700</v>
      </c>
      <c r="J82" s="6" t="str">
        <f t="shared" si="30"/>
        <v>MC &lt;= P</v>
      </c>
      <c r="K82" s="5">
        <f t="shared" si="31"/>
        <v>0</v>
      </c>
      <c r="L82" s="5">
        <f t="shared" si="32"/>
        <v>0</v>
      </c>
    </row>
    <row r="83" spans="1:12" x14ac:dyDescent="0.2">
      <c r="A83" s="5">
        <v>23</v>
      </c>
      <c r="B83" s="11">
        <f t="shared" si="22"/>
        <v>1377.292184868003</v>
      </c>
      <c r="C83" s="11">
        <f t="shared" si="23"/>
        <v>720</v>
      </c>
      <c r="D83" s="11">
        <f t="shared" si="24"/>
        <v>657.29218486800301</v>
      </c>
      <c r="E83" s="10">
        <f t="shared" si="25"/>
        <v>36411.322653958385</v>
      </c>
      <c r="F83" s="10">
        <f t="shared" si="26"/>
        <v>20240</v>
      </c>
      <c r="G83" s="10">
        <f t="shared" si="27"/>
        <v>56651.322653958385</v>
      </c>
      <c r="H83" s="10">
        <f t="shared" si="29"/>
        <v>2201.9893898860464</v>
      </c>
      <c r="I83" s="5">
        <f t="shared" si="28"/>
        <v>2700</v>
      </c>
      <c r="J83" s="6" t="str">
        <f t="shared" si="30"/>
        <v>MC &lt;= P</v>
      </c>
      <c r="K83" s="5">
        <f t="shared" si="31"/>
        <v>0</v>
      </c>
      <c r="L83" s="5">
        <f t="shared" si="32"/>
        <v>0</v>
      </c>
    </row>
    <row r="84" spans="1:12" x14ac:dyDescent="0.2">
      <c r="A84" s="5">
        <v>24</v>
      </c>
      <c r="B84" s="11">
        <f t="shared" si="22"/>
        <v>1455.1391344474989</v>
      </c>
      <c r="C84" s="11">
        <f t="shared" si="23"/>
        <v>720</v>
      </c>
      <c r="D84" s="11">
        <f t="shared" si="24"/>
        <v>735.13913444749892</v>
      </c>
      <c r="E84" s="10">
        <f t="shared" si="25"/>
        <v>37762.832195269075</v>
      </c>
      <c r="F84" s="10">
        <f t="shared" si="26"/>
        <v>21120</v>
      </c>
      <c r="G84" s="10">
        <f t="shared" si="27"/>
        <v>58882.832195269075</v>
      </c>
      <c r="H84" s="10">
        <f t="shared" si="29"/>
        <v>2231.5095413106901</v>
      </c>
      <c r="I84" s="5">
        <f t="shared" si="28"/>
        <v>2700</v>
      </c>
      <c r="J84" s="6" t="str">
        <f t="shared" si="30"/>
        <v>MC &lt;= P</v>
      </c>
      <c r="K84" s="5">
        <f t="shared" si="31"/>
        <v>0</v>
      </c>
      <c r="L84" s="5">
        <f t="shared" si="32"/>
        <v>0</v>
      </c>
    </row>
    <row r="85" spans="1:12" x14ac:dyDescent="0.2">
      <c r="A85" s="5">
        <v>25</v>
      </c>
      <c r="B85" s="11">
        <f t="shared" si="22"/>
        <v>1534.7170558625965</v>
      </c>
      <c r="C85" s="11">
        <f t="shared" si="23"/>
        <v>720</v>
      </c>
      <c r="D85" s="11">
        <f t="shared" si="24"/>
        <v>814.71705586259645</v>
      </c>
      <c r="E85" s="10">
        <f t="shared" si="25"/>
        <v>39144.393330947853</v>
      </c>
      <c r="F85" s="10">
        <f t="shared" si="26"/>
        <v>22000</v>
      </c>
      <c r="G85" s="10">
        <f t="shared" si="27"/>
        <v>61144.393330947853</v>
      </c>
      <c r="H85" s="10">
        <f t="shared" si="29"/>
        <v>2261.5611356787776</v>
      </c>
      <c r="I85" s="5">
        <f t="shared" si="28"/>
        <v>2700</v>
      </c>
      <c r="J85" s="6" t="str">
        <f t="shared" si="30"/>
        <v>MC &lt;= P</v>
      </c>
      <c r="K85" s="5">
        <f t="shared" si="31"/>
        <v>0</v>
      </c>
      <c r="L85" s="5">
        <f t="shared" si="32"/>
        <v>0</v>
      </c>
    </row>
    <row r="86" spans="1:12" x14ac:dyDescent="0.2">
      <c r="A86" s="5">
        <v>26</v>
      </c>
      <c r="B86" s="11">
        <f t="shared" si="22"/>
        <v>1616.0570598233144</v>
      </c>
      <c r="C86" s="11">
        <f t="shared" si="23"/>
        <v>720</v>
      </c>
      <c r="D86" s="11">
        <f t="shared" si="24"/>
        <v>896.05705982331438</v>
      </c>
      <c r="E86" s="10">
        <f t="shared" si="25"/>
        <v>40556.546177488097</v>
      </c>
      <c r="F86" s="10">
        <f t="shared" si="26"/>
        <v>22880</v>
      </c>
      <c r="G86" s="10">
        <f t="shared" si="27"/>
        <v>63436.546177488097</v>
      </c>
      <c r="H86" s="10">
        <f t="shared" si="29"/>
        <v>2292.1528465402444</v>
      </c>
      <c r="I86" s="5">
        <f t="shared" si="28"/>
        <v>2700</v>
      </c>
      <c r="J86" s="6" t="str">
        <f t="shared" si="30"/>
        <v>MC &lt;= P</v>
      </c>
      <c r="K86" s="5">
        <f t="shared" si="31"/>
        <v>0</v>
      </c>
      <c r="L86" s="5">
        <f t="shared" si="32"/>
        <v>0</v>
      </c>
    </row>
    <row r="87" spans="1:12" x14ac:dyDescent="0.2">
      <c r="A87" s="5">
        <v>27</v>
      </c>
      <c r="B87" s="11">
        <f t="shared" si="22"/>
        <v>1699.1907643430709</v>
      </c>
      <c r="C87" s="11">
        <f t="shared" si="23"/>
        <v>720</v>
      </c>
      <c r="D87" s="11">
        <f t="shared" si="24"/>
        <v>979.1907643430709</v>
      </c>
      <c r="E87" s="10">
        <f t="shared" si="25"/>
        <v>41999.839658733865</v>
      </c>
      <c r="F87" s="10">
        <f t="shared" si="26"/>
        <v>23760</v>
      </c>
      <c r="G87" s="10">
        <f t="shared" si="27"/>
        <v>65759.839658733865</v>
      </c>
      <c r="H87" s="10">
        <f t="shared" si="29"/>
        <v>2323.2934812457679</v>
      </c>
      <c r="I87" s="5">
        <f t="shared" si="28"/>
        <v>2700</v>
      </c>
      <c r="J87" s="6" t="str">
        <f t="shared" si="30"/>
        <v>MC &lt;= P</v>
      </c>
      <c r="K87" s="5">
        <f t="shared" si="31"/>
        <v>0</v>
      </c>
      <c r="L87" s="5">
        <f t="shared" si="32"/>
        <v>0</v>
      </c>
    </row>
    <row r="88" spans="1:12" x14ac:dyDescent="0.2">
      <c r="A88" s="5">
        <v>28</v>
      </c>
      <c r="B88" s="11">
        <f t="shared" si="22"/>
        <v>1784.1503025602246</v>
      </c>
      <c r="C88" s="11">
        <f t="shared" si="23"/>
        <v>720</v>
      </c>
      <c r="D88" s="11">
        <f t="shared" si="24"/>
        <v>1064.1503025602246</v>
      </c>
      <c r="E88" s="10">
        <f t="shared" si="25"/>
        <v>43474.831641670564</v>
      </c>
      <c r="F88" s="10">
        <f t="shared" si="26"/>
        <v>24640</v>
      </c>
      <c r="G88" s="10">
        <f t="shared" si="27"/>
        <v>68114.831641670564</v>
      </c>
      <c r="H88" s="10">
        <f t="shared" si="29"/>
        <v>2354.9919829366991</v>
      </c>
      <c r="I88" s="5">
        <f t="shared" si="28"/>
        <v>2700</v>
      </c>
      <c r="J88" s="6" t="str">
        <f t="shared" si="30"/>
        <v>MC &lt;= P</v>
      </c>
      <c r="K88" s="5">
        <f t="shared" si="31"/>
        <v>0</v>
      </c>
      <c r="L88" s="5">
        <f t="shared" si="32"/>
        <v>0</v>
      </c>
    </row>
    <row r="89" spans="1:12" x14ac:dyDescent="0.2">
      <c r="A89" s="5">
        <v>29</v>
      </c>
      <c r="B89" s="11">
        <f t="shared" si="22"/>
        <v>1870.9683306758782</v>
      </c>
      <c r="C89" s="11">
        <f t="shared" si="23"/>
        <v>720</v>
      </c>
      <c r="D89" s="11">
        <f t="shared" si="24"/>
        <v>1150.9683306758782</v>
      </c>
      <c r="E89" s="10">
        <f t="shared" si="25"/>
        <v>44982.089074233998</v>
      </c>
      <c r="F89" s="10">
        <f t="shared" si="26"/>
        <v>25520</v>
      </c>
      <c r="G89" s="10">
        <f t="shared" si="27"/>
        <v>70502.089074233998</v>
      </c>
      <c r="H89" s="10">
        <f t="shared" si="29"/>
        <v>2387.2574325634341</v>
      </c>
      <c r="I89" s="5">
        <f t="shared" si="28"/>
        <v>2700</v>
      </c>
      <c r="J89" s="6" t="str">
        <f t="shared" si="30"/>
        <v>MC &lt;= P</v>
      </c>
      <c r="K89" s="5">
        <f t="shared" si="31"/>
        <v>0</v>
      </c>
      <c r="L89" s="5">
        <f t="shared" si="32"/>
        <v>0</v>
      </c>
    </row>
    <row r="90" spans="1:12" x14ac:dyDescent="0.2">
      <c r="A90" s="5">
        <v>30</v>
      </c>
      <c r="B90" s="11">
        <f t="shared" si="22"/>
        <v>1959.6780360096488</v>
      </c>
      <c r="C90" s="11">
        <f t="shared" si="23"/>
        <v>720</v>
      </c>
      <c r="D90" s="11">
        <f t="shared" si="24"/>
        <v>1239.6780360096488</v>
      </c>
      <c r="E90" s="10">
        <f t="shared" si="25"/>
        <v>46522.188125167515</v>
      </c>
      <c r="F90" s="10">
        <f t="shared" si="26"/>
        <v>26400</v>
      </c>
      <c r="G90" s="10">
        <f t="shared" si="27"/>
        <v>72922.188125167508</v>
      </c>
      <c r="H90" s="10">
        <f t="shared" si="29"/>
        <v>2420.0990509335097</v>
      </c>
      <c r="I90" s="5">
        <f t="shared" si="28"/>
        <v>2700</v>
      </c>
      <c r="J90" s="6" t="str">
        <f t="shared" si="30"/>
        <v>MC &lt;= P</v>
      </c>
      <c r="K90" s="5">
        <f t="shared" si="31"/>
        <v>0</v>
      </c>
      <c r="L90" s="5">
        <f t="shared" si="32"/>
        <v>0</v>
      </c>
    </row>
    <row r="91" spans="1:12" x14ac:dyDescent="0.2">
      <c r="A91" s="16" t="s">
        <v>92</v>
      </c>
      <c r="H91" s="17">
        <f>IFERROR(INDEX(A61:A90,MATCH(1,K61:K90,0))-1,MAX(A61:A90))</f>
        <v>6</v>
      </c>
    </row>
    <row r="92" spans="1:12" x14ac:dyDescent="0.2">
      <c r="A92" s="16" t="s">
        <v>93</v>
      </c>
      <c r="H92" s="17">
        <f>SUM(L61:L90)</f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2"/>
  <sheetViews>
    <sheetView workbookViewId="0">
      <selection activeCell="D12" sqref="D12"/>
    </sheetView>
  </sheetViews>
  <sheetFormatPr baseColWidth="10" defaultColWidth="8.83203125" defaultRowHeight="15" x14ac:dyDescent="0.2"/>
  <cols>
    <col min="1" max="1" width="40" customWidth="1"/>
    <col min="2" max="2" width="20" customWidth="1"/>
    <col min="3" max="3" width="10" customWidth="1"/>
    <col min="4" max="4" width="20" customWidth="1"/>
    <col min="5" max="5" width="16" customWidth="1"/>
  </cols>
  <sheetData>
    <row r="1" spans="1:3" ht="17" x14ac:dyDescent="0.2">
      <c r="A1" s="1" t="s">
        <v>96</v>
      </c>
    </row>
    <row r="2" spans="1:3" x14ac:dyDescent="0.2">
      <c r="A2" s="2" t="s">
        <v>97</v>
      </c>
    </row>
    <row r="4" spans="1:3" x14ac:dyDescent="0.2">
      <c r="A4" s="9" t="s">
        <v>98</v>
      </c>
    </row>
    <row r="5" spans="1:3" x14ac:dyDescent="0.2">
      <c r="A5" s="3" t="s">
        <v>2</v>
      </c>
      <c r="B5" s="3" t="s">
        <v>50</v>
      </c>
      <c r="C5" s="3" t="s">
        <v>49</v>
      </c>
    </row>
    <row r="6" spans="1:3" x14ac:dyDescent="0.2">
      <c r="A6" s="4" t="s">
        <v>99</v>
      </c>
      <c r="B6" s="5">
        <v>10</v>
      </c>
      <c r="C6" s="6" t="s">
        <v>56</v>
      </c>
    </row>
    <row r="7" spans="1:3" x14ac:dyDescent="0.2">
      <c r="A7" s="4" t="s">
        <v>100</v>
      </c>
      <c r="B7" s="5">
        <v>20</v>
      </c>
      <c r="C7" s="6" t="s">
        <v>57</v>
      </c>
    </row>
    <row r="8" spans="1:3" x14ac:dyDescent="0.2">
      <c r="A8" s="4" t="s">
        <v>101</v>
      </c>
      <c r="B8" s="5">
        <v>30</v>
      </c>
      <c r="C8" s="6" t="s">
        <v>58</v>
      </c>
    </row>
    <row r="10" spans="1:3" x14ac:dyDescent="0.2">
      <c r="A10" s="9" t="s">
        <v>102</v>
      </c>
    </row>
    <row r="11" spans="1:3" x14ac:dyDescent="0.2">
      <c r="A11" s="16" t="s">
        <v>103</v>
      </c>
      <c r="B11" s="18">
        <f>PROFIT</f>
        <v>42761.664682745002</v>
      </c>
    </row>
    <row r="13" spans="1:3" x14ac:dyDescent="0.2">
      <c r="A13" s="9" t="s">
        <v>104</v>
      </c>
    </row>
    <row r="14" spans="1:3" x14ac:dyDescent="0.2">
      <c r="A14" s="16" t="s">
        <v>105</v>
      </c>
      <c r="B14" t="s">
        <v>77</v>
      </c>
    </row>
    <row r="15" spans="1:3" x14ac:dyDescent="0.2">
      <c r="A15" s="16" t="s">
        <v>106</v>
      </c>
      <c r="B15" t="s">
        <v>107</v>
      </c>
    </row>
    <row r="16" spans="1:3" x14ac:dyDescent="0.2">
      <c r="A16" s="16" t="s">
        <v>108</v>
      </c>
      <c r="B16" t="s">
        <v>109</v>
      </c>
    </row>
    <row r="17" spans="1:5" x14ac:dyDescent="0.2">
      <c r="A17" s="16" t="s">
        <v>110</v>
      </c>
      <c r="B17" t="s">
        <v>111</v>
      </c>
    </row>
    <row r="18" spans="1:5" x14ac:dyDescent="0.2">
      <c r="A18" s="16" t="s">
        <v>112</v>
      </c>
      <c r="B18" t="s">
        <v>113</v>
      </c>
    </row>
    <row r="20" spans="1:5" x14ac:dyDescent="0.2">
      <c r="A20" s="9" t="s">
        <v>114</v>
      </c>
    </row>
    <row r="21" spans="1:5" x14ac:dyDescent="0.2">
      <c r="A21" s="3" t="s">
        <v>115</v>
      </c>
      <c r="B21" s="3" t="s">
        <v>116</v>
      </c>
      <c r="C21" s="3" t="s">
        <v>117</v>
      </c>
      <c r="D21" s="3" t="s">
        <v>118</v>
      </c>
      <c r="E21" s="3" t="s">
        <v>119</v>
      </c>
    </row>
    <row r="22" spans="1:5" x14ac:dyDescent="0.2">
      <c r="A22" s="6" t="s">
        <v>120</v>
      </c>
      <c r="B22" s="8">
        <f>TOM_BEDS</f>
        <v>10</v>
      </c>
      <c r="C22" s="6" t="s">
        <v>121</v>
      </c>
      <c r="D22" s="8">
        <f>0</f>
        <v>0</v>
      </c>
      <c r="E22" s="6" t="str">
        <f>IF(B22&gt;=D22,"OK","VIOLATED")</f>
        <v>OK</v>
      </c>
    </row>
    <row r="23" spans="1:5" x14ac:dyDescent="0.2">
      <c r="A23" s="6" t="s">
        <v>122</v>
      </c>
      <c r="B23" s="8">
        <f>TOM_BEDS</f>
        <v>10</v>
      </c>
      <c r="C23" s="6" t="s">
        <v>123</v>
      </c>
      <c r="D23" s="8">
        <f>TOM_MAX_BEDS</f>
        <v>20</v>
      </c>
      <c r="E23" s="6" t="str">
        <f>IF(B23&lt;=D23,"OK","VIOLATED")</f>
        <v>OK</v>
      </c>
    </row>
    <row r="24" spans="1:5" x14ac:dyDescent="0.2">
      <c r="A24" s="6" t="s">
        <v>124</v>
      </c>
      <c r="B24" s="8">
        <f>CAR_BEDS</f>
        <v>20</v>
      </c>
      <c r="C24" s="6" t="s">
        <v>121</v>
      </c>
      <c r="D24" s="8">
        <f>0</f>
        <v>0</v>
      </c>
      <c r="E24" s="6" t="str">
        <f>IF(B24&gt;=D24,"OK","VIOLATED")</f>
        <v>OK</v>
      </c>
    </row>
    <row r="25" spans="1:5" x14ac:dyDescent="0.2">
      <c r="A25" s="6" t="s">
        <v>125</v>
      </c>
      <c r="B25" s="8">
        <f>CAR_BEDS</f>
        <v>20</v>
      </c>
      <c r="C25" s="6" t="s">
        <v>123</v>
      </c>
      <c r="D25" s="8">
        <f>CAR_MAX_BEDS</f>
        <v>20</v>
      </c>
      <c r="E25" s="6" t="str">
        <f>IF(B25&lt;=D25,"OK","VIOLATED")</f>
        <v>OK</v>
      </c>
    </row>
    <row r="26" spans="1:5" x14ac:dyDescent="0.2">
      <c r="A26" s="6" t="s">
        <v>126</v>
      </c>
      <c r="B26" s="8">
        <f>MES_BEDS</f>
        <v>30</v>
      </c>
      <c r="C26" s="6" t="s">
        <v>121</v>
      </c>
      <c r="D26" s="8">
        <f>0</f>
        <v>0</v>
      </c>
      <c r="E26" s="6" t="str">
        <f>IF(B26&gt;=D26,"OK","VIOLATED")</f>
        <v>OK</v>
      </c>
    </row>
    <row r="27" spans="1:5" x14ac:dyDescent="0.2">
      <c r="A27" s="6" t="s">
        <v>127</v>
      </c>
      <c r="B27" s="8">
        <f>MES_BEDS</f>
        <v>30</v>
      </c>
      <c r="C27" s="6" t="s">
        <v>123</v>
      </c>
      <c r="D27" s="8">
        <f>MES_MAX_BEDS</f>
        <v>30</v>
      </c>
      <c r="E27" s="6" t="str">
        <f>IF(B27&lt;=D27,"OK","VIOLATED")</f>
        <v>OK</v>
      </c>
    </row>
    <row r="28" spans="1:5" x14ac:dyDescent="0.2">
      <c r="A28" s="6" t="s">
        <v>128</v>
      </c>
      <c r="B28" s="8">
        <f>TOTAL_BEDS</f>
        <v>60</v>
      </c>
      <c r="C28" s="6" t="s">
        <v>123</v>
      </c>
      <c r="D28" s="8">
        <f>MAX_TOTAL_BEDS</f>
        <v>64</v>
      </c>
      <c r="E28" s="6" t="str">
        <f>IF(B28&lt;=D28,"OK","VIOLATED")</f>
        <v>OK</v>
      </c>
    </row>
    <row r="29" spans="1:5" x14ac:dyDescent="0.2">
      <c r="A29" s="6" t="s">
        <v>129</v>
      </c>
      <c r="B29" s="8">
        <f>TEMP_WORKERS_NEEDED</f>
        <v>3.1647334126901998</v>
      </c>
      <c r="C29" s="6" t="s">
        <v>123</v>
      </c>
      <c r="D29" s="8">
        <f>MAX_TEMP_WORKERS</f>
        <v>4</v>
      </c>
      <c r="E29" s="6" t="str">
        <f>IF(B29&lt;=D29,"OK","VIOLATED")</f>
        <v>OK</v>
      </c>
    </row>
    <row r="31" spans="1:5" x14ac:dyDescent="0.2">
      <c r="A31" s="16" t="s">
        <v>130</v>
      </c>
      <c r="B31" t="str">
        <f>IF(AND(TOM_BEDS=INT(TOM_BEDS),CAR_BEDS=INT(CAR_BEDS),MES_BEDS=INT(MES_BEDS)),"OK","NON-INTEGER")</f>
        <v>OK</v>
      </c>
    </row>
    <row r="32" spans="1:5" x14ac:dyDescent="0.2">
      <c r="A32" s="16" t="s">
        <v>131</v>
      </c>
      <c r="B32" t="str">
        <f>IF(COUNTIF(E22:E29,"OK")=8,"ALL OK","CHECK FAILURES")</f>
        <v>ALL OK</v>
      </c>
    </row>
  </sheetData>
  <conditionalFormatting sqref="B31">
    <cfRule type="expression" dxfId="9" priority="3">
      <formula>AND(LEN($B$31)&gt;0,ISNUMBER(SEARCH("OK",$B$31)))</formula>
    </cfRule>
    <cfRule type="expression" dxfId="8" priority="4">
      <formula>AND(LEN($B$31)&gt;0,ISNUMBER(SEARCH("OK",$B$31))=FALSE)</formula>
    </cfRule>
  </conditionalFormatting>
  <conditionalFormatting sqref="B32">
    <cfRule type="expression" dxfId="7" priority="5">
      <formula>AND(LEN($B$32)&gt;0,ISNUMBER(SEARCH("OK",$B$32)))</formula>
    </cfRule>
    <cfRule type="expression" dxfId="6" priority="6">
      <formula>AND(LEN($B$32)&gt;0,ISNUMBER(SEARCH("OK",$B$32))=FALSE)</formula>
    </cfRule>
  </conditionalFormatting>
  <conditionalFormatting sqref="E22:E29">
    <cfRule type="expression" dxfId="5" priority="1">
      <formula>AND(LEN($E22)&gt;0,ISNUMBER(SEARCH("OK",$E22)))</formula>
    </cfRule>
    <cfRule type="expression" dxfId="4" priority="2">
      <formula>AND(LEN($E22)&gt;0,ISNUMBER(SEARCH("OK",$E22))=FALSE)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tabSelected="1" topLeftCell="A9" workbookViewId="0">
      <selection activeCell="C36" sqref="C36"/>
    </sheetView>
  </sheetViews>
  <sheetFormatPr baseColWidth="10" defaultColWidth="8.83203125" defaultRowHeight="15" x14ac:dyDescent="0.2"/>
  <cols>
    <col min="1" max="1" width="52" customWidth="1"/>
    <col min="2" max="5" width="18" customWidth="1"/>
  </cols>
  <sheetData>
    <row r="1" spans="1:5" ht="17" x14ac:dyDescent="0.2">
      <c r="A1" s="1" t="s">
        <v>132</v>
      </c>
    </row>
    <row r="2" spans="1:5" x14ac:dyDescent="0.2">
      <c r="A2" s="2" t="s">
        <v>133</v>
      </c>
    </row>
    <row r="4" spans="1:5" x14ac:dyDescent="0.2">
      <c r="A4" s="9" t="s">
        <v>134</v>
      </c>
    </row>
    <row r="5" spans="1:5" x14ac:dyDescent="0.2">
      <c r="A5" s="3" t="s">
        <v>135</v>
      </c>
      <c r="B5" s="3" t="s">
        <v>136</v>
      </c>
      <c r="C5" s="3" t="s">
        <v>137</v>
      </c>
      <c r="D5" s="3" t="s">
        <v>138</v>
      </c>
      <c r="E5" s="3" t="s">
        <v>139</v>
      </c>
    </row>
    <row r="6" spans="1:5" x14ac:dyDescent="0.2">
      <c r="A6" s="6" t="s">
        <v>140</v>
      </c>
      <c r="B6" s="11">
        <f>1*TOM_HRS*SEASON_WEEKS*(1+TOM_DIM)^1</f>
        <v>99.000000000000014</v>
      </c>
      <c r="C6" s="11">
        <v>99</v>
      </c>
      <c r="D6" s="11">
        <v>0.01</v>
      </c>
      <c r="E6" s="6" t="str">
        <f>IF(ABS(B6-C6)&lt;=D6,"PASS","FAIL")</f>
        <v>PASS</v>
      </c>
    </row>
    <row r="7" spans="1:5" x14ac:dyDescent="0.2">
      <c r="A7" s="6" t="s">
        <v>141</v>
      </c>
      <c r="B7" s="11">
        <f>10*TOM_HRS*SEASON_WEEKS*(1+TOM_DIM)^10</f>
        <v>2334.3682140900019</v>
      </c>
      <c r="C7" s="11">
        <v>2334.37</v>
      </c>
      <c r="D7" s="11">
        <v>0.01</v>
      </c>
      <c r="E7" s="6" t="str">
        <f>IF(ABS(B7-C7)&lt;=D7,"PASS","FAIL")</f>
        <v>PASS</v>
      </c>
    </row>
    <row r="9" spans="1:5" x14ac:dyDescent="0.2">
      <c r="A9" s="9" t="s">
        <v>142</v>
      </c>
    </row>
    <row r="10" spans="1:5" x14ac:dyDescent="0.2">
      <c r="A10" s="3" t="s">
        <v>135</v>
      </c>
      <c r="B10" s="3" t="s">
        <v>136</v>
      </c>
      <c r="C10" s="3" t="s">
        <v>137</v>
      </c>
      <c r="D10" s="3" t="s">
        <v>138</v>
      </c>
      <c r="E10" s="3" t="s">
        <v>139</v>
      </c>
    </row>
    <row r="11" spans="1:5" x14ac:dyDescent="0.2">
      <c r="A11" s="6" t="s">
        <v>143</v>
      </c>
      <c r="B11" s="10">
        <f>TOM_BEDS</f>
        <v>10</v>
      </c>
      <c r="C11" s="10">
        <v>10</v>
      </c>
      <c r="D11" s="10" t="s">
        <v>144</v>
      </c>
      <c r="E11" s="6" t="str">
        <f>IF(B11=C11,"PASS","FAIL")</f>
        <v>PASS</v>
      </c>
    </row>
    <row r="12" spans="1:5" x14ac:dyDescent="0.2">
      <c r="A12" s="6" t="s">
        <v>145</v>
      </c>
      <c r="B12" s="10">
        <f>CAR_BEDS</f>
        <v>20</v>
      </c>
      <c r="C12" s="10">
        <v>20</v>
      </c>
      <c r="D12" s="10" t="s">
        <v>144</v>
      </c>
      <c r="E12" s="6" t="str">
        <f>IF(B12=C12,"PASS","FAIL")</f>
        <v>PASS</v>
      </c>
    </row>
    <row r="13" spans="1:5" x14ac:dyDescent="0.2">
      <c r="A13" s="6" t="s">
        <v>146</v>
      </c>
      <c r="B13" s="10">
        <f>MES_BEDS</f>
        <v>30</v>
      </c>
      <c r="C13" s="10">
        <v>30</v>
      </c>
      <c r="D13" s="10" t="s">
        <v>144</v>
      </c>
      <c r="E13" s="6" t="str">
        <f>IF(B13=C13,"PASS","FAIL")</f>
        <v>PASS</v>
      </c>
    </row>
    <row r="14" spans="1:5" x14ac:dyDescent="0.2">
      <c r="A14" s="6" t="s">
        <v>147</v>
      </c>
      <c r="B14" s="10">
        <f>TOTAL_BEDS</f>
        <v>60</v>
      </c>
      <c r="C14" s="10">
        <v>60</v>
      </c>
      <c r="D14" s="10" t="s">
        <v>144</v>
      </c>
      <c r="E14" s="6" t="str">
        <f>IF(B14=C14,"PASS","FAIL")</f>
        <v>PASS</v>
      </c>
    </row>
    <row r="15" spans="1:5" x14ac:dyDescent="0.2">
      <c r="A15" s="6" t="s">
        <v>148</v>
      </c>
      <c r="B15" s="10">
        <f>TOTAL_LABOR_HRS</f>
        <v>5277.2161142738878</v>
      </c>
      <c r="C15" s="10">
        <v>5277.22</v>
      </c>
      <c r="D15" s="10">
        <v>0.01</v>
      </c>
      <c r="E15" s="6" t="str">
        <f t="shared" ref="E15:E20" si="0">IF(ABS(B15-C15)&lt;=D15,"PASS","FAIL")</f>
        <v>PASS</v>
      </c>
    </row>
    <row r="16" spans="1:5" x14ac:dyDescent="0.2">
      <c r="A16" s="6" t="s">
        <v>149</v>
      </c>
      <c r="B16" s="10">
        <f>TEMP_WORKERS_NEEDED</f>
        <v>3.1647334126901998</v>
      </c>
      <c r="C16" s="10">
        <v>3.165</v>
      </c>
      <c r="D16" s="10">
        <v>0.01</v>
      </c>
      <c r="E16" s="6" t="str">
        <f t="shared" si="0"/>
        <v>PASS</v>
      </c>
    </row>
    <row r="17" spans="1:5" x14ac:dyDescent="0.2">
      <c r="A17" s="6" t="s">
        <v>150</v>
      </c>
      <c r="B17" s="10">
        <f>PROFIT</f>
        <v>42761.664682745002</v>
      </c>
      <c r="C17" s="10">
        <v>42762</v>
      </c>
      <c r="D17" s="10">
        <v>1</v>
      </c>
      <c r="E17" s="6" t="str">
        <f t="shared" si="0"/>
        <v>PASS</v>
      </c>
    </row>
    <row r="18" spans="1:5" x14ac:dyDescent="0.2">
      <c r="A18" s="6" t="s">
        <v>151</v>
      </c>
      <c r="B18" s="10">
        <f>TOM_PMC_BEDS</f>
        <v>10</v>
      </c>
      <c r="C18" s="10">
        <v>10</v>
      </c>
      <c r="D18" s="10">
        <v>1</v>
      </c>
      <c r="E18" s="6" t="str">
        <f t="shared" si="0"/>
        <v>PASS</v>
      </c>
    </row>
    <row r="19" spans="1:5" x14ac:dyDescent="0.2">
      <c r="A19" s="6" t="s">
        <v>152</v>
      </c>
      <c r="B19" s="10">
        <f>CAR_PMC_BEDS</f>
        <v>10</v>
      </c>
      <c r="C19" s="10">
        <v>10</v>
      </c>
      <c r="D19" s="10">
        <v>1</v>
      </c>
      <c r="E19" s="6" t="str">
        <f t="shared" si="0"/>
        <v>PASS</v>
      </c>
    </row>
    <row r="20" spans="1:5" x14ac:dyDescent="0.2">
      <c r="A20" s="6" t="s">
        <v>153</v>
      </c>
      <c r="B20" s="10">
        <f>MES_PMC_BEDS</f>
        <v>6</v>
      </c>
      <c r="C20" s="10">
        <v>6</v>
      </c>
      <c r="D20" s="10">
        <v>1</v>
      </c>
      <c r="E20" s="6" t="str">
        <f t="shared" si="0"/>
        <v>PASS</v>
      </c>
    </row>
    <row r="22" spans="1:5" x14ac:dyDescent="0.2">
      <c r="A22" s="9" t="s">
        <v>154</v>
      </c>
    </row>
    <row r="23" spans="1:5" x14ac:dyDescent="0.2">
      <c r="A23" s="3" t="s">
        <v>135</v>
      </c>
      <c r="B23" s="3" t="s">
        <v>139</v>
      </c>
    </row>
    <row r="24" spans="1:5" x14ac:dyDescent="0.2">
      <c r="A24" s="6" t="s">
        <v>155</v>
      </c>
      <c r="B24" s="6" t="str">
        <f>IF(SUMPRODUCT(--ISERROR('Marginal Analysis'!B6:L120))=0,"PASS","FAIL")</f>
        <v>PASS</v>
      </c>
    </row>
    <row r="25" spans="1:5" x14ac:dyDescent="0.2">
      <c r="A25" s="6" t="s">
        <v>156</v>
      </c>
      <c r="B25" s="6" t="str">
        <f>IF(SUMPRODUCT(--ISERROR('Farm P&amp;L'!B5:G28))=0,"PASS","FAIL")</f>
        <v>PASS</v>
      </c>
    </row>
    <row r="26" spans="1:5" x14ac:dyDescent="0.2">
      <c r="A26" s="6" t="s">
        <v>157</v>
      </c>
      <c r="B26" s="6" t="str">
        <f>IF(SUMPRODUCT(--ISERROR(Optimization!B6:E32))=0,"PASS","FAIL")</f>
        <v>PASS</v>
      </c>
    </row>
    <row r="27" spans="1:5" x14ac:dyDescent="0.2">
      <c r="A27" s="6" t="s">
        <v>158</v>
      </c>
      <c r="B27" s="6" t="str">
        <f>IF(ISERROR(BLENDED_LABOR_RATE),"FAIL","PASS")</f>
        <v>PASS</v>
      </c>
    </row>
    <row r="28" spans="1:5" x14ac:dyDescent="0.2">
      <c r="A28" s="6" t="s">
        <v>159</v>
      </c>
      <c r="B28" s="6" t="str">
        <f>CONSTRAINTS_OK</f>
        <v>ALL OK</v>
      </c>
    </row>
    <row r="29" spans="1:5" x14ac:dyDescent="0.2">
      <c r="A29" s="6" t="s">
        <v>160</v>
      </c>
      <c r="B29" s="6" t="str">
        <f>INTEGER_OK</f>
        <v>OK</v>
      </c>
    </row>
    <row r="30" spans="1:5" x14ac:dyDescent="0.2">
      <c r="A30" s="6" t="s">
        <v>161</v>
      </c>
      <c r="B30" s="6" t="str">
        <f>IF(ROUND(FARMER_HRS_USED+TEMP_LABOR_HRS-TOTAL_LABOR_HRS,6)=0,"PASS","FAIL")</f>
        <v>PASS</v>
      </c>
    </row>
    <row r="31" spans="1:5" x14ac:dyDescent="0.2">
      <c r="A31" s="6" t="s">
        <v>162</v>
      </c>
      <c r="B31" s="6" t="str">
        <f>IF(ROUND(VARIABLE_COSTS+FIXED_COSTS-TOTAL_COSTS,6)=0,"PASS","FAIL")</f>
        <v>PASS</v>
      </c>
    </row>
    <row r="32" spans="1:5" x14ac:dyDescent="0.2">
      <c r="A32" s="6" t="s">
        <v>163</v>
      </c>
      <c r="B32" s="6" t="str">
        <f>IF(ROUND(SUM('Farm P&amp;L'!D5:D7)-TOTAL_REVENUE,6)=0,"PASS","FAIL")</f>
        <v>PASS</v>
      </c>
    </row>
    <row r="34" spans="1:5" x14ac:dyDescent="0.2">
      <c r="A34" s="9" t="s">
        <v>164</v>
      </c>
    </row>
    <row r="35" spans="1:5" x14ac:dyDescent="0.2">
      <c r="A35" s="3" t="s">
        <v>49</v>
      </c>
      <c r="B35" s="3" t="s">
        <v>93</v>
      </c>
    </row>
    <row r="36" spans="1:5" x14ac:dyDescent="0.2">
      <c r="A36" s="6" t="s">
        <v>56</v>
      </c>
      <c r="B36" s="5">
        <f>TOM_MC_DIPS</f>
        <v>1</v>
      </c>
    </row>
    <row r="37" spans="1:5" x14ac:dyDescent="0.2">
      <c r="A37" s="6" t="s">
        <v>57</v>
      </c>
      <c r="B37" s="5">
        <f>CAR_MC_DIPS</f>
        <v>2</v>
      </c>
    </row>
    <row r="38" spans="1:5" x14ac:dyDescent="0.2">
      <c r="A38" s="6" t="s">
        <v>58</v>
      </c>
      <c r="B38" s="5">
        <f>MES_MC_DIPS</f>
        <v>2</v>
      </c>
    </row>
    <row r="40" spans="1:5" x14ac:dyDescent="0.2">
      <c r="A40" s="9" t="s">
        <v>165</v>
      </c>
    </row>
    <row r="41" spans="1:5" x14ac:dyDescent="0.2">
      <c r="A41" s="3" t="s">
        <v>166</v>
      </c>
      <c r="B41" s="3" t="s">
        <v>143</v>
      </c>
      <c r="C41" s="3" t="s">
        <v>145</v>
      </c>
      <c r="D41" s="3" t="s">
        <v>146</v>
      </c>
      <c r="E41" s="3" t="s">
        <v>167</v>
      </c>
    </row>
    <row r="42" spans="1:5" x14ac:dyDescent="0.2">
      <c r="A42" s="6" t="s">
        <v>168</v>
      </c>
      <c r="B42" s="6">
        <v>10</v>
      </c>
      <c r="C42" s="6">
        <v>20</v>
      </c>
      <c r="D42" s="6">
        <v>30</v>
      </c>
      <c r="E42" s="19">
        <v>42761.66</v>
      </c>
    </row>
    <row r="43" spans="1:5" x14ac:dyDescent="0.2">
      <c r="A43" s="6" t="s">
        <v>169</v>
      </c>
      <c r="B43" s="6">
        <v>10</v>
      </c>
      <c r="C43" s="6">
        <v>20</v>
      </c>
      <c r="D43" s="6">
        <v>30</v>
      </c>
      <c r="E43" s="19">
        <v>42761.66</v>
      </c>
    </row>
    <row r="45" spans="1:5" x14ac:dyDescent="0.2">
      <c r="A45" s="2" t="s">
        <v>170</v>
      </c>
    </row>
  </sheetData>
  <conditionalFormatting sqref="B28">
    <cfRule type="expression" dxfId="3" priority="1">
      <formula>AND(LEN($B$28)&gt;0,ISNUMBER(SEARCH("OK",$B$28)))</formula>
    </cfRule>
    <cfRule type="expression" dxfId="2" priority="2">
      <formula>AND(LEN($B$28)&gt;0,ISNUMBER(SEARCH("OK",$B$28))=FALSE)</formula>
    </cfRule>
  </conditionalFormatting>
  <conditionalFormatting sqref="B29">
    <cfRule type="expression" dxfId="1" priority="3">
      <formula>AND(LEN($B$29)&gt;0,ISNUMBER(SEARCH("OK",$B$29)))</formula>
    </cfRule>
    <cfRule type="expression" dxfId="0" priority="4">
      <formula>AND(LEN($B$29)&gt;0,ISNUMBER(SEARCH("OK",$B$29))=FALSE)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56</vt:i4>
      </vt:variant>
    </vt:vector>
  </HeadingPairs>
  <TitlesOfParts>
    <vt:vector size="61" baseType="lpstr">
      <vt:lpstr>Inputs</vt:lpstr>
      <vt:lpstr>Farm P&amp;L</vt:lpstr>
      <vt:lpstr>Marginal Analysis</vt:lpstr>
      <vt:lpstr>Optimization</vt:lpstr>
      <vt:lpstr>Checks</vt:lpstr>
      <vt:lpstr>BLENDED_LABOR_RATE</vt:lpstr>
      <vt:lpstr>CAR_BEDS</vt:lpstr>
      <vt:lpstr>CAR_DIM</vt:lpstr>
      <vt:lpstr>CAR_FERT</vt:lpstr>
      <vt:lpstr>CAR_HRS</vt:lpstr>
      <vt:lpstr>CAR_LABOR_HRS</vt:lpstr>
      <vt:lpstr>CAR_MAX_BEDS</vt:lpstr>
      <vt:lpstr>CAR_MC_DIPS</vt:lpstr>
      <vt:lpstr>CAR_PMC_BEDS</vt:lpstr>
      <vt:lpstr>CAR_PRICE</vt:lpstr>
      <vt:lpstr>CONSTRAINTS_OK</vt:lpstr>
      <vt:lpstr>FARMER_FIELD_HOURS</vt:lpstr>
      <vt:lpstr>FARMER_FIELD_RATE</vt:lpstr>
      <vt:lpstr>FARMER_HRS_USED</vt:lpstr>
      <vt:lpstr>FARMER_LABOR_COST</vt:lpstr>
      <vt:lpstr>FARMER_PAID_HOURS</vt:lpstr>
      <vt:lpstr>FARMER_SALARY</vt:lpstr>
      <vt:lpstr>FIXED_COSTS</vt:lpstr>
      <vt:lpstr>FIXED_COSTS_APPLIED</vt:lpstr>
      <vt:lpstr>INTEGER_OK</vt:lpstr>
      <vt:lpstr>MAX_TEMP_WORKERS</vt:lpstr>
      <vt:lpstr>MAX_TOTAL_BEDS</vt:lpstr>
      <vt:lpstr>MES_BEDS</vt:lpstr>
      <vt:lpstr>MES_DIM</vt:lpstr>
      <vt:lpstr>MES_FERT</vt:lpstr>
      <vt:lpstr>MES_HRS</vt:lpstr>
      <vt:lpstr>MES_LABOR_HRS</vt:lpstr>
      <vt:lpstr>MES_MAX_BEDS</vt:lpstr>
      <vt:lpstr>MES_MC_DIPS</vt:lpstr>
      <vt:lpstr>MES_PMC_BEDS</vt:lpstr>
      <vt:lpstr>MES_PRICE</vt:lpstr>
      <vt:lpstr>PROFIT</vt:lpstr>
      <vt:lpstr>SEASON_WEEKS</vt:lpstr>
      <vt:lpstr>TEMP_HOURS_PER_WORKER</vt:lpstr>
      <vt:lpstr>TEMP_LABOR_COST</vt:lpstr>
      <vt:lpstr>TEMP_LABOR_HRS</vt:lpstr>
      <vt:lpstr>TEMP_RATE</vt:lpstr>
      <vt:lpstr>TEMP_SALARY</vt:lpstr>
      <vt:lpstr>TEMP_WORKERS_NEEDED</vt:lpstr>
      <vt:lpstr>TOM_BEDS</vt:lpstr>
      <vt:lpstr>TOM_DIM</vt:lpstr>
      <vt:lpstr>TOM_FERT</vt:lpstr>
      <vt:lpstr>TOM_HRS</vt:lpstr>
      <vt:lpstr>TOM_LABOR_HRS</vt:lpstr>
      <vt:lpstr>TOM_MAX_BEDS</vt:lpstr>
      <vt:lpstr>TOM_MC_DIPS</vt:lpstr>
      <vt:lpstr>TOM_PMC_BEDS</vt:lpstr>
      <vt:lpstr>TOM_PRICE</vt:lpstr>
      <vt:lpstr>TOTAL_BEDS</vt:lpstr>
      <vt:lpstr>TOTAL_COSTS</vt:lpstr>
      <vt:lpstr>TOTAL_FERT_COST</vt:lpstr>
      <vt:lpstr>TOTAL_LABOR_COST</vt:lpstr>
      <vt:lpstr>TOTAL_LABOR_HRS</vt:lpstr>
      <vt:lpstr>TOTAL_REVENUE</vt:lpstr>
      <vt:lpstr>UNUSED_BEDS</vt:lpstr>
      <vt:lpstr>VARIABLE_COSTS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Michelle Buff</cp:lastModifiedBy>
  <dcterms:created xsi:type="dcterms:W3CDTF">2026-09-01T07:44:15Z</dcterms:created>
  <dcterms:modified xsi:type="dcterms:W3CDTF">2026-09-01T08:32:55Z</dcterms:modified>
</cp:coreProperties>
</file>